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NKAT KRISHNA\Desktop\"/>
    </mc:Choice>
  </mc:AlternateContent>
  <xr:revisionPtr revIDLastSave="0" documentId="13_ncr:1_{39D0B9B5-2263-435A-BDCE-3088A19C10E9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amber" sheetId="1" r:id="rId1"/>
    <sheet name="amber_an" sheetId="4" r:id="rId2"/>
    <sheet name="topaz" sheetId="2" r:id="rId3"/>
    <sheet name="topaz_an" sheetId="6" r:id="rId4"/>
    <sheet name="pearl" sheetId="3" r:id="rId5"/>
    <sheet name="pearl_an" sheetId="7" r:id="rId6"/>
    <sheet name="normalise" sheetId="8" r:id="rId7"/>
    <sheet name="form norm refined" sheetId="12" r:id="rId8"/>
    <sheet name="normalise refined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2" l="1" a="1"/>
  <c r="C9" i="12"/>
  <c r="C8" i="12" a="1"/>
  <c r="C8" i="12" s="1"/>
  <c r="C12" i="12" a="1"/>
  <c r="C12" i="12" s="1"/>
  <c r="C13" i="12" a="1"/>
  <c r="C13" i="12" s="1"/>
  <c r="C10" i="12" a="1"/>
  <c r="C10" i="12" s="1"/>
  <c r="C11" i="12" a="1"/>
  <c r="C11" i="12" s="1"/>
  <c r="Q21" i="13" a="1"/>
  <c r="Q21" i="13" s="1"/>
  <c r="P21" i="13" a="1"/>
  <c r="P21" i="13" s="1"/>
  <c r="O21" i="13" a="1"/>
  <c r="O21" i="13" s="1"/>
  <c r="N21" i="13" a="1"/>
  <c r="N21" i="13" s="1"/>
  <c r="M21" i="13" a="1"/>
  <c r="M21" i="13" s="1"/>
  <c r="L21" i="13" a="1"/>
  <c r="L21" i="13" s="1"/>
  <c r="Q20" i="13" a="1"/>
  <c r="Q20" i="13" s="1"/>
  <c r="P20" i="13" a="1"/>
  <c r="P20" i="13" s="1"/>
  <c r="O20" i="13" a="1"/>
  <c r="O20" i="13" s="1"/>
  <c r="N20" i="13" a="1"/>
  <c r="N20" i="13" s="1"/>
  <c r="M20" i="13" a="1"/>
  <c r="M20" i="13" s="1"/>
  <c r="L20" i="13" a="1"/>
  <c r="L20" i="13" s="1"/>
  <c r="Q19" i="13" a="1"/>
  <c r="Q19" i="13" s="1"/>
  <c r="P19" i="13" a="1"/>
  <c r="P19" i="13" s="1"/>
  <c r="O19" i="13" a="1"/>
  <c r="O19" i="13" s="1"/>
  <c r="N19" i="13" a="1"/>
  <c r="N19" i="13" s="1"/>
  <c r="M19" i="13" a="1"/>
  <c r="M19" i="13" s="1"/>
  <c r="L19" i="13" a="1"/>
  <c r="L19" i="13" s="1"/>
  <c r="Q18" i="13" a="1"/>
  <c r="Q18" i="13" s="1"/>
  <c r="P18" i="13" a="1"/>
  <c r="P18" i="13" s="1"/>
  <c r="O18" i="13" a="1"/>
  <c r="O18" i="13" s="1"/>
  <c r="N18" i="13" a="1"/>
  <c r="N18" i="13" s="1"/>
  <c r="M18" i="13" a="1"/>
  <c r="M18" i="13" s="1"/>
  <c r="L18" i="13" a="1"/>
  <c r="L18" i="13" s="1"/>
  <c r="Q17" i="13" a="1"/>
  <c r="Q17" i="13" s="1"/>
  <c r="P17" i="13" a="1"/>
  <c r="P17" i="13" s="1"/>
  <c r="O17" i="13" a="1"/>
  <c r="O17" i="13" s="1"/>
  <c r="N17" i="13" a="1"/>
  <c r="N17" i="13" s="1"/>
  <c r="M17" i="13" a="1"/>
  <c r="M17" i="13" s="1"/>
  <c r="L17" i="13" a="1"/>
  <c r="L17" i="13" s="1"/>
  <c r="Q16" i="13" a="1"/>
  <c r="Q16" i="13" s="1"/>
  <c r="P16" i="13" a="1"/>
  <c r="P16" i="13" s="1"/>
  <c r="O16" i="13" a="1"/>
  <c r="O16" i="13" s="1"/>
  <c r="N16" i="13" a="1"/>
  <c r="N16" i="13" s="1"/>
  <c r="M16" i="13" a="1"/>
  <c r="M16" i="13" s="1"/>
  <c r="L16" i="13" a="1"/>
  <c r="L16" i="13" s="1"/>
  <c r="Q15" i="13" a="1"/>
  <c r="Q15" i="13" s="1"/>
  <c r="P15" i="13" a="1"/>
  <c r="P15" i="13" s="1"/>
  <c r="O15" i="13" a="1"/>
  <c r="O15" i="13" s="1"/>
  <c r="N15" i="13" a="1"/>
  <c r="N15" i="13" s="1"/>
  <c r="M15" i="13" a="1"/>
  <c r="M15" i="13" s="1"/>
  <c r="L15" i="13" a="1"/>
  <c r="L15" i="13" s="1"/>
  <c r="Q14" i="13" a="1"/>
  <c r="Q14" i="13" s="1"/>
  <c r="P14" i="13" a="1"/>
  <c r="P14" i="13" s="1"/>
  <c r="O14" i="13" a="1"/>
  <c r="O14" i="13" s="1"/>
  <c r="N14" i="13" a="1"/>
  <c r="N14" i="13" s="1"/>
  <c r="M14" i="13" a="1"/>
  <c r="M14" i="13" s="1"/>
  <c r="L14" i="13" a="1"/>
  <c r="L14" i="13" s="1"/>
  <c r="Q13" i="13" a="1"/>
  <c r="Q13" i="13" s="1"/>
  <c r="P13" i="13" a="1"/>
  <c r="P13" i="13" s="1"/>
  <c r="O13" i="13" a="1"/>
  <c r="O13" i="13" s="1"/>
  <c r="N13" i="13" a="1"/>
  <c r="N13" i="13" s="1"/>
  <c r="M13" i="13" a="1"/>
  <c r="M13" i="13" s="1"/>
  <c r="L13" i="13" a="1"/>
  <c r="L13" i="13" s="1"/>
  <c r="Q12" i="13" a="1"/>
  <c r="Q12" i="13" s="1"/>
  <c r="P12" i="13" a="1"/>
  <c r="P12" i="13" s="1"/>
  <c r="O12" i="13" a="1"/>
  <c r="O12" i="13" s="1"/>
  <c r="N12" i="13" a="1"/>
  <c r="N12" i="13" s="1"/>
  <c r="M12" i="13" a="1"/>
  <c r="M12" i="13" s="1"/>
  <c r="L12" i="13" a="1"/>
  <c r="L12" i="13" s="1"/>
  <c r="Q11" i="13" a="1"/>
  <c r="Q11" i="13" s="1"/>
  <c r="P11" i="13" a="1"/>
  <c r="P11" i="13" s="1"/>
  <c r="O11" i="13" a="1"/>
  <c r="O11" i="13" s="1"/>
  <c r="N11" i="13" a="1"/>
  <c r="N11" i="13" s="1"/>
  <c r="M11" i="13" a="1"/>
  <c r="M11" i="13" s="1"/>
  <c r="L11" i="13" a="1"/>
  <c r="L11" i="13" s="1"/>
  <c r="Q10" i="13" a="1"/>
  <c r="Q10" i="13" s="1"/>
  <c r="P10" i="13" a="1"/>
  <c r="P10" i="13" s="1"/>
  <c r="O10" i="13" a="1"/>
  <c r="O10" i="13" s="1"/>
  <c r="N10" i="13" a="1"/>
  <c r="N10" i="13" s="1"/>
  <c r="M10" i="13" a="1"/>
  <c r="M10" i="13" s="1"/>
  <c r="L10" i="13" a="1"/>
  <c r="L10" i="13" s="1"/>
  <c r="Q9" i="13" a="1"/>
  <c r="Q9" i="13" s="1"/>
  <c r="P9" i="13" a="1"/>
  <c r="P9" i="13" s="1"/>
  <c r="O9" i="13" a="1"/>
  <c r="O9" i="13" s="1"/>
  <c r="N9" i="13" a="1"/>
  <c r="N9" i="13" s="1"/>
  <c r="M9" i="13" a="1"/>
  <c r="M9" i="13" s="1"/>
  <c r="L9" i="13" a="1"/>
  <c r="L9" i="13" s="1"/>
  <c r="Q8" i="13" a="1"/>
  <c r="Q8" i="13" s="1"/>
  <c r="P8" i="13" a="1"/>
  <c r="P8" i="13" s="1"/>
  <c r="O8" i="13" a="1"/>
  <c r="O8" i="13" s="1"/>
  <c r="N8" i="13" a="1"/>
  <c r="N8" i="13" s="1"/>
  <c r="M8" i="13" a="1"/>
  <c r="M8" i="13" s="1"/>
  <c r="L8" i="13" a="1"/>
  <c r="L8" i="13" s="1"/>
  <c r="Q7" i="13" a="1"/>
  <c r="Q7" i="13" s="1"/>
  <c r="P7" i="13" a="1"/>
  <c r="P7" i="13" s="1"/>
  <c r="O7" i="13" a="1"/>
  <c r="O7" i="13" s="1"/>
  <c r="N7" i="13" a="1"/>
  <c r="N7" i="13" s="1"/>
  <c r="M7" i="13" a="1"/>
  <c r="M7" i="13" s="1"/>
  <c r="L7" i="13" a="1"/>
  <c r="L7" i="13" s="1"/>
  <c r="Q6" i="13" a="1"/>
  <c r="Q6" i="13" s="1"/>
  <c r="P6" i="13" a="1"/>
  <c r="P6" i="13" s="1"/>
  <c r="O6" i="13" a="1"/>
  <c r="O6" i="13" s="1"/>
  <c r="N6" i="13" a="1"/>
  <c r="N6" i="13" s="1"/>
  <c r="M6" i="13" a="1"/>
  <c r="M6" i="13" s="1"/>
  <c r="L6" i="13" a="1"/>
  <c r="L6" i="13" s="1"/>
  <c r="Q5" i="13" a="1"/>
  <c r="Q5" i="13" s="1"/>
  <c r="P5" i="13" a="1"/>
  <c r="P5" i="13" s="1"/>
  <c r="O5" i="13" a="1"/>
  <c r="O5" i="13" s="1"/>
  <c r="N5" i="13" a="1"/>
  <c r="N5" i="13" s="1"/>
  <c r="M5" i="13" a="1"/>
  <c r="M5" i="13" s="1"/>
  <c r="L5" i="13" a="1"/>
  <c r="L5" i="13" s="1"/>
  <c r="Q4" i="13" a="1"/>
  <c r="Q4" i="13" s="1"/>
  <c r="P4" i="13" a="1"/>
  <c r="P4" i="13" s="1"/>
  <c r="O4" i="13" a="1"/>
  <c r="O4" i="13" s="1"/>
  <c r="N4" i="13" a="1"/>
  <c r="N4" i="13" s="1"/>
  <c r="M4" i="13" a="1"/>
  <c r="M4" i="13" s="1"/>
  <c r="L4" i="13" a="1"/>
  <c r="L4" i="13" s="1"/>
  <c r="Q3" i="13" a="1"/>
  <c r="Q3" i="13" s="1"/>
  <c r="P3" i="13" a="1"/>
  <c r="P3" i="13" s="1"/>
  <c r="O3" i="13" a="1"/>
  <c r="O3" i="13" s="1"/>
  <c r="N3" i="13" a="1"/>
  <c r="N3" i="13" s="1"/>
  <c r="M3" i="13" a="1"/>
  <c r="M3" i="13" s="1"/>
  <c r="L3" i="13" a="1"/>
  <c r="L3" i="13" s="1"/>
  <c r="Q2" i="13" a="1"/>
  <c r="Q2" i="13" s="1"/>
  <c r="P2" i="13" a="1"/>
  <c r="P2" i="13" s="1"/>
  <c r="O2" i="13" a="1"/>
  <c r="O2" i="13" s="1"/>
  <c r="N2" i="13" a="1"/>
  <c r="N2" i="13" s="1"/>
  <c r="M2" i="13" a="1"/>
  <c r="M2" i="13" s="1"/>
  <c r="L2" i="13" a="1"/>
  <c r="L2" i="13" s="1"/>
  <c r="L3" i="8" a="1"/>
  <c r="L3" i="8" s="1"/>
  <c r="L4" i="8" a="1"/>
  <c r="L4" i="8" s="1"/>
  <c r="L5" i="8" a="1"/>
  <c r="L5" i="8" s="1"/>
  <c r="L6" i="8" a="1"/>
  <c r="L6" i="8" s="1"/>
  <c r="L7" i="8" a="1"/>
  <c r="L7" i="8" s="1"/>
  <c r="L8" i="8" a="1"/>
  <c r="L8" i="8" s="1"/>
  <c r="L9" i="8" a="1"/>
  <c r="L9" i="8" s="1"/>
  <c r="L10" i="8" a="1"/>
  <c r="L10" i="8" s="1"/>
  <c r="L11" i="8" a="1"/>
  <c r="L11" i="8" s="1"/>
  <c r="L12" i="8" a="1"/>
  <c r="L12" i="8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" i="8" a="1"/>
  <c r="L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M6" i="8" a="1"/>
  <c r="M6" i="8" s="1"/>
  <c r="N6" i="8" a="1"/>
  <c r="N6" i="8" s="1"/>
  <c r="O6" i="8" a="1"/>
  <c r="O6" i="8" s="1"/>
  <c r="P6" i="8" a="1"/>
  <c r="P6" i="8" s="1"/>
  <c r="Q6" i="8" a="1"/>
  <c r="Q6" i="8" s="1"/>
  <c r="M7" i="8" a="1"/>
  <c r="M7" i="8" s="1"/>
  <c r="N7" i="8" a="1"/>
  <c r="N7" i="8" s="1"/>
  <c r="O7" i="8" a="1"/>
  <c r="O7" i="8" s="1"/>
  <c r="P7" i="8" a="1"/>
  <c r="P7" i="8" s="1"/>
  <c r="Q7" i="8" a="1"/>
  <c r="Q7" i="8" s="1"/>
  <c r="M8" i="8" a="1"/>
  <c r="M8" i="8" s="1"/>
  <c r="N8" i="8" a="1"/>
  <c r="N8" i="8" s="1"/>
  <c r="O8" i="8" a="1"/>
  <c r="O8" i="8" s="1"/>
  <c r="P8" i="8" a="1"/>
  <c r="P8" i="8" s="1"/>
  <c r="Q8" i="8" a="1"/>
  <c r="Q8" i="8" s="1"/>
  <c r="M9" i="8" a="1"/>
  <c r="M9" i="8" s="1"/>
  <c r="N9" i="8" a="1"/>
  <c r="N9" i="8" s="1"/>
  <c r="O9" i="8" a="1"/>
  <c r="O9" i="8" s="1"/>
  <c r="P9" i="8" a="1"/>
  <c r="P9" i="8" s="1"/>
  <c r="Q9" i="8" a="1"/>
  <c r="Q9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Q3" i="8" a="1"/>
  <c r="Q3" i="8" s="1"/>
  <c r="Q4" i="8" a="1"/>
  <c r="Q4" i="8" s="1"/>
  <c r="Q5" i="8" a="1"/>
  <c r="Q5" i="8" s="1"/>
  <c r="Q2" i="8" a="1"/>
  <c r="Q2" i="8" s="1"/>
  <c r="V2" i="7" a="1"/>
  <c r="V2" i="7" s="1"/>
  <c r="P3" i="8" a="1"/>
  <c r="P3" i="8" s="1"/>
  <c r="P4" i="8" a="1"/>
  <c r="P4" i="8" s="1"/>
  <c r="P5" i="8" a="1"/>
  <c r="P5" i="8" s="1"/>
  <c r="P2" i="8" a="1"/>
  <c r="P2" i="8" s="1"/>
  <c r="N2" i="7" a="1"/>
  <c r="N2" i="7" s="1"/>
  <c r="O3" i="8" a="1"/>
  <c r="O3" i="8" s="1"/>
  <c r="O4" i="8" a="1"/>
  <c r="O4" i="8" s="1"/>
  <c r="O5" i="8" a="1"/>
  <c r="O5" i="8" s="1"/>
  <c r="O2" i="8" a="1"/>
  <c r="O2" i="8" s="1"/>
  <c r="V2" i="6" a="1"/>
  <c r="V2" i="6" s="1"/>
  <c r="N3" i="8" a="1"/>
  <c r="N3" i="8" s="1"/>
  <c r="N4" i="8" a="1"/>
  <c r="N4" i="8" s="1"/>
  <c r="N5" i="8" a="1"/>
  <c r="N5" i="8" s="1"/>
  <c r="N2" i="8" a="1"/>
  <c r="N2" i="8" s="1"/>
  <c r="N2" i="6" a="1"/>
  <c r="N2" i="6" s="1"/>
  <c r="M3" i="8" a="1"/>
  <c r="M3" i="8" s="1"/>
  <c r="M4" i="8" a="1"/>
  <c r="M4" i="8" s="1"/>
  <c r="M5" i="8" a="1"/>
  <c r="M5" i="8" s="1"/>
  <c r="M2" i="8" a="1"/>
  <c r="M2" i="8" s="1"/>
  <c r="V2" i="4" a="1"/>
  <c r="V2" i="4" s="1"/>
  <c r="N3" i="4" a="1"/>
  <c r="N3" i="4" s="1"/>
  <c r="AL2" i="4" a="1"/>
  <c r="AL2" i="4" s="1"/>
  <c r="AL3" i="4" a="1"/>
  <c r="AL3" i="4" s="1"/>
  <c r="AL4" i="4" a="1"/>
  <c r="AL4" i="4" s="1"/>
  <c r="AL5" i="4" a="1"/>
  <c r="AL5" i="4" s="1"/>
  <c r="AL6" i="4" a="1"/>
  <c r="AL6" i="4" s="1"/>
  <c r="AL7" i="4" a="1"/>
  <c r="AL7" i="4" s="1"/>
  <c r="AL8" i="4" a="1"/>
  <c r="AL8" i="4" s="1"/>
  <c r="AL9" i="4" a="1"/>
  <c r="AL9" i="4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2" i="1"/>
  <c r="P2" i="7" a="1"/>
  <c r="P2" i="7" s="1"/>
  <c r="Q2" i="7" a="1"/>
  <c r="Q2" i="7" s="1"/>
  <c r="R2" i="7" a="1"/>
  <c r="R2" i="7" s="1"/>
  <c r="S2" i="7" a="1"/>
  <c r="S2" i="7" s="1"/>
  <c r="T2" i="7" a="1"/>
  <c r="T2" i="7" s="1"/>
  <c r="U2" i="7" a="1"/>
  <c r="U2" i="7" s="1"/>
  <c r="W2" i="7" a="1"/>
  <c r="W2" i="7" s="1"/>
  <c r="X2" i="7" a="1"/>
  <c r="X2" i="7" s="1"/>
  <c r="Y2" i="7" a="1"/>
  <c r="Y2" i="7" s="1"/>
  <c r="Z2" i="7" a="1"/>
  <c r="Z2" i="7" s="1"/>
  <c r="AA2" i="7" a="1"/>
  <c r="AA2" i="7" s="1"/>
  <c r="AB2" i="7" a="1"/>
  <c r="AB2" i="7" s="1"/>
  <c r="AC2" i="7" a="1"/>
  <c r="AC2" i="7" s="1"/>
  <c r="AD2" i="7" a="1"/>
  <c r="AD2" i="7" s="1"/>
  <c r="AE2" i="7" a="1"/>
  <c r="AE2" i="7" s="1"/>
  <c r="AF2" i="7" a="1"/>
  <c r="AF2" i="7" s="1"/>
  <c r="AG2" i="7" a="1"/>
  <c r="AG2" i="7" s="1"/>
  <c r="AH2" i="7" a="1"/>
  <c r="AH2" i="7" s="1"/>
  <c r="AI2" i="7" a="1"/>
  <c r="AI2" i="7" s="1"/>
  <c r="AJ2" i="7" a="1"/>
  <c r="AJ2" i="7" s="1"/>
  <c r="AK2" i="7" a="1"/>
  <c r="AK2" i="7" s="1"/>
  <c r="AL2" i="7" a="1"/>
  <c r="AL2" i="7" s="1"/>
  <c r="P3" i="7" a="1"/>
  <c r="P3" i="7" s="1"/>
  <c r="Q3" i="7" a="1"/>
  <c r="Q3" i="7" s="1"/>
  <c r="R3" i="7" a="1"/>
  <c r="R3" i="7" s="1"/>
  <c r="S3" i="7" a="1"/>
  <c r="S3" i="7" s="1"/>
  <c r="T3" i="7" a="1"/>
  <c r="T3" i="7" s="1"/>
  <c r="U3" i="7" a="1"/>
  <c r="U3" i="7" s="1"/>
  <c r="V3" i="7" a="1"/>
  <c r="V3" i="7" s="1"/>
  <c r="W3" i="7" a="1"/>
  <c r="W3" i="7" s="1"/>
  <c r="X3" i="7" a="1"/>
  <c r="X3" i="7" s="1"/>
  <c r="Y3" i="7" a="1"/>
  <c r="Y3" i="7" s="1"/>
  <c r="Z3" i="7" a="1"/>
  <c r="Z3" i="7" s="1"/>
  <c r="AA3" i="7" a="1"/>
  <c r="AA3" i="7" s="1"/>
  <c r="AB3" i="7" a="1"/>
  <c r="AB3" i="7" s="1"/>
  <c r="AC3" i="7" a="1"/>
  <c r="AC3" i="7" s="1"/>
  <c r="AD3" i="7" a="1"/>
  <c r="AD3" i="7" s="1"/>
  <c r="AE3" i="7" a="1"/>
  <c r="AE3" i="7" s="1"/>
  <c r="AF3" i="7" a="1"/>
  <c r="AF3" i="7" s="1"/>
  <c r="AG3" i="7" a="1"/>
  <c r="AG3" i="7" s="1"/>
  <c r="AH3" i="7" a="1"/>
  <c r="AH3" i="7" s="1"/>
  <c r="AI3" i="7" a="1"/>
  <c r="AI3" i="7" s="1"/>
  <c r="AJ3" i="7" a="1"/>
  <c r="AJ3" i="7" s="1"/>
  <c r="AK3" i="7" a="1"/>
  <c r="AK3" i="7" s="1"/>
  <c r="AL3" i="7" a="1"/>
  <c r="AL3" i="7" s="1"/>
  <c r="P4" i="7" a="1"/>
  <c r="P4" i="7" s="1"/>
  <c r="Q4" i="7" a="1"/>
  <c r="Q4" i="7" s="1"/>
  <c r="R4" i="7" a="1"/>
  <c r="R4" i="7" s="1"/>
  <c r="S4" i="7" a="1"/>
  <c r="S4" i="7" s="1"/>
  <c r="T4" i="7" a="1"/>
  <c r="T4" i="7" s="1"/>
  <c r="U4" i="7" a="1"/>
  <c r="U4" i="7" s="1"/>
  <c r="V4" i="7" a="1"/>
  <c r="V4" i="7" s="1"/>
  <c r="W4" i="7" a="1"/>
  <c r="W4" i="7" s="1"/>
  <c r="X4" i="7" a="1"/>
  <c r="X4" i="7" s="1"/>
  <c r="Y4" i="7" a="1"/>
  <c r="Y4" i="7" s="1"/>
  <c r="Z4" i="7" a="1"/>
  <c r="Z4" i="7" s="1"/>
  <c r="AA4" i="7" a="1"/>
  <c r="AA4" i="7" s="1"/>
  <c r="AB4" i="7" a="1"/>
  <c r="AB4" i="7" s="1"/>
  <c r="AC4" i="7" a="1"/>
  <c r="AC4" i="7" s="1"/>
  <c r="AD4" i="7" a="1"/>
  <c r="AD4" i="7" s="1"/>
  <c r="AE4" i="7" a="1"/>
  <c r="AE4" i="7" s="1"/>
  <c r="AF4" i="7" a="1"/>
  <c r="AF4" i="7" s="1"/>
  <c r="AG4" i="7" a="1"/>
  <c r="AG4" i="7" s="1"/>
  <c r="AH4" i="7" a="1"/>
  <c r="AH4" i="7" s="1"/>
  <c r="AI4" i="7" a="1"/>
  <c r="AI4" i="7" s="1"/>
  <c r="AJ4" i="7" a="1"/>
  <c r="AJ4" i="7" s="1"/>
  <c r="AK4" i="7" a="1"/>
  <c r="AK4" i="7" s="1"/>
  <c r="AL4" i="7" a="1"/>
  <c r="AL4" i="7" s="1"/>
  <c r="P5" i="7" a="1"/>
  <c r="P5" i="7" s="1"/>
  <c r="Q5" i="7" a="1"/>
  <c r="Q5" i="7" s="1"/>
  <c r="R5" i="7" a="1"/>
  <c r="R5" i="7" s="1"/>
  <c r="S5" i="7" a="1"/>
  <c r="S5" i="7" s="1"/>
  <c r="T5" i="7" a="1"/>
  <c r="T5" i="7" s="1"/>
  <c r="U5" i="7" a="1"/>
  <c r="U5" i="7" s="1"/>
  <c r="V5" i="7" a="1"/>
  <c r="V5" i="7" s="1"/>
  <c r="W5" i="7" a="1"/>
  <c r="W5" i="7" s="1"/>
  <c r="X5" i="7" a="1"/>
  <c r="X5" i="7" s="1"/>
  <c r="Y5" i="7" a="1"/>
  <c r="Y5" i="7" s="1"/>
  <c r="Z5" i="7" a="1"/>
  <c r="Z5" i="7" s="1"/>
  <c r="AA5" i="7" a="1"/>
  <c r="AA5" i="7" s="1"/>
  <c r="AB5" i="7" a="1"/>
  <c r="AB5" i="7" s="1"/>
  <c r="AC5" i="7" a="1"/>
  <c r="AC5" i="7" s="1"/>
  <c r="AD5" i="7" a="1"/>
  <c r="AD5" i="7" s="1"/>
  <c r="AE5" i="7" a="1"/>
  <c r="AE5" i="7" s="1"/>
  <c r="AF5" i="7" a="1"/>
  <c r="AF5" i="7" s="1"/>
  <c r="AG5" i="7" a="1"/>
  <c r="AG5" i="7" s="1"/>
  <c r="AH5" i="7" a="1"/>
  <c r="AH5" i="7" s="1"/>
  <c r="AI5" i="7" a="1"/>
  <c r="AI5" i="7" s="1"/>
  <c r="AJ5" i="7" a="1"/>
  <c r="AJ5" i="7" s="1"/>
  <c r="AK5" i="7" a="1"/>
  <c r="AK5" i="7" s="1"/>
  <c r="AL5" i="7" a="1"/>
  <c r="AL5" i="7" s="1"/>
  <c r="P6" i="7" a="1"/>
  <c r="P6" i="7" s="1"/>
  <c r="Q6" i="7" a="1"/>
  <c r="Q6" i="7" s="1"/>
  <c r="R6" i="7" a="1"/>
  <c r="R6" i="7" s="1"/>
  <c r="S6" i="7" a="1"/>
  <c r="S6" i="7" s="1"/>
  <c r="T6" i="7" a="1"/>
  <c r="T6" i="7" s="1"/>
  <c r="U6" i="7" a="1"/>
  <c r="U6" i="7" s="1"/>
  <c r="V6" i="7" a="1"/>
  <c r="V6" i="7" s="1"/>
  <c r="W6" i="7" a="1"/>
  <c r="W6" i="7" s="1"/>
  <c r="X6" i="7" a="1"/>
  <c r="X6" i="7" s="1"/>
  <c r="Y6" i="7" a="1"/>
  <c r="Y6" i="7" s="1"/>
  <c r="Z6" i="7" a="1"/>
  <c r="Z6" i="7" s="1"/>
  <c r="AA6" i="7" a="1"/>
  <c r="AA6" i="7" s="1"/>
  <c r="AB6" i="7" a="1"/>
  <c r="AB6" i="7" s="1"/>
  <c r="AC6" i="7" a="1"/>
  <c r="AC6" i="7" s="1"/>
  <c r="AD6" i="7" a="1"/>
  <c r="AD6" i="7" s="1"/>
  <c r="AE6" i="7" a="1"/>
  <c r="AE6" i="7" s="1"/>
  <c r="AF6" i="7" a="1"/>
  <c r="AF6" i="7" s="1"/>
  <c r="AG6" i="7" a="1"/>
  <c r="AG6" i="7" s="1"/>
  <c r="AH6" i="7" a="1"/>
  <c r="AH6" i="7" s="1"/>
  <c r="AI6" i="7" a="1"/>
  <c r="AI6" i="7" s="1"/>
  <c r="AJ6" i="7" a="1"/>
  <c r="AJ6" i="7" s="1"/>
  <c r="AK6" i="7" a="1"/>
  <c r="AK6" i="7" s="1"/>
  <c r="AL6" i="7" a="1"/>
  <c r="AL6" i="7" s="1"/>
  <c r="P7" i="7" a="1"/>
  <c r="P7" i="7" s="1"/>
  <c r="Q7" i="7" a="1"/>
  <c r="Q7" i="7" s="1"/>
  <c r="R7" i="7" a="1"/>
  <c r="R7" i="7" s="1"/>
  <c r="S7" i="7" a="1"/>
  <c r="S7" i="7" s="1"/>
  <c r="T7" i="7" a="1"/>
  <c r="T7" i="7" s="1"/>
  <c r="U7" i="7" a="1"/>
  <c r="U7" i="7" s="1"/>
  <c r="V7" i="7" a="1"/>
  <c r="V7" i="7" s="1"/>
  <c r="W7" i="7" a="1"/>
  <c r="W7" i="7" s="1"/>
  <c r="X7" i="7" a="1"/>
  <c r="X7" i="7" s="1"/>
  <c r="Y7" i="7" a="1"/>
  <c r="Y7" i="7" s="1"/>
  <c r="Z7" i="7" a="1"/>
  <c r="Z7" i="7" s="1"/>
  <c r="AA7" i="7" a="1"/>
  <c r="AA7" i="7" s="1"/>
  <c r="AB7" i="7" a="1"/>
  <c r="AB7" i="7" s="1"/>
  <c r="AC7" i="7" a="1"/>
  <c r="AC7" i="7" s="1"/>
  <c r="AD7" i="7" a="1"/>
  <c r="AD7" i="7" s="1"/>
  <c r="AE7" i="7" a="1"/>
  <c r="AE7" i="7" s="1"/>
  <c r="AF7" i="7" a="1"/>
  <c r="AF7" i="7" s="1"/>
  <c r="AG7" i="7" a="1"/>
  <c r="AG7" i="7" s="1"/>
  <c r="AH7" i="7" a="1"/>
  <c r="AH7" i="7" s="1"/>
  <c r="AI7" i="7" a="1"/>
  <c r="AI7" i="7" s="1"/>
  <c r="AJ7" i="7" a="1"/>
  <c r="AJ7" i="7" s="1"/>
  <c r="AK7" i="7" a="1"/>
  <c r="AK7" i="7" s="1"/>
  <c r="AL7" i="7" a="1"/>
  <c r="AL7" i="7" s="1"/>
  <c r="P8" i="7" a="1"/>
  <c r="P8" i="7" s="1"/>
  <c r="Q8" i="7" a="1"/>
  <c r="Q8" i="7" s="1"/>
  <c r="R8" i="7" a="1"/>
  <c r="R8" i="7" s="1"/>
  <c r="S8" i="7" a="1"/>
  <c r="S8" i="7" s="1"/>
  <c r="T8" i="7" a="1"/>
  <c r="T8" i="7" s="1"/>
  <c r="U8" i="7" a="1"/>
  <c r="U8" i="7" s="1"/>
  <c r="V8" i="7" a="1"/>
  <c r="V8" i="7" s="1"/>
  <c r="W8" i="7" a="1"/>
  <c r="W8" i="7" s="1"/>
  <c r="X8" i="7" a="1"/>
  <c r="X8" i="7" s="1"/>
  <c r="Y8" i="7" a="1"/>
  <c r="Y8" i="7" s="1"/>
  <c r="Z8" i="7" a="1"/>
  <c r="Z8" i="7" s="1"/>
  <c r="AA8" i="7" a="1"/>
  <c r="AA8" i="7" s="1"/>
  <c r="AB8" i="7" a="1"/>
  <c r="AB8" i="7" s="1"/>
  <c r="AC8" i="7" a="1"/>
  <c r="AC8" i="7" s="1"/>
  <c r="AD8" i="7" a="1"/>
  <c r="AD8" i="7" s="1"/>
  <c r="AE8" i="7" a="1"/>
  <c r="AE8" i="7" s="1"/>
  <c r="AF8" i="7" a="1"/>
  <c r="AF8" i="7" s="1"/>
  <c r="AG8" i="7" a="1"/>
  <c r="AG8" i="7" s="1"/>
  <c r="AH8" i="7" a="1"/>
  <c r="AH8" i="7" s="1"/>
  <c r="AI8" i="7" a="1"/>
  <c r="AI8" i="7" s="1"/>
  <c r="AJ8" i="7" a="1"/>
  <c r="AJ8" i="7" s="1"/>
  <c r="AK8" i="7" a="1"/>
  <c r="AK8" i="7" s="1"/>
  <c r="AL8" i="7" a="1"/>
  <c r="AL8" i="7" s="1"/>
  <c r="P9" i="7" a="1"/>
  <c r="P9" i="7" s="1"/>
  <c r="Q9" i="7" a="1"/>
  <c r="Q9" i="7" s="1"/>
  <c r="R9" i="7" a="1"/>
  <c r="R9" i="7" s="1"/>
  <c r="S9" i="7" a="1"/>
  <c r="S9" i="7" s="1"/>
  <c r="T9" i="7" a="1"/>
  <c r="T9" i="7" s="1"/>
  <c r="U9" i="7" a="1"/>
  <c r="U9" i="7" s="1"/>
  <c r="V9" i="7" a="1"/>
  <c r="V9" i="7" s="1"/>
  <c r="W9" i="7" a="1"/>
  <c r="W9" i="7" s="1"/>
  <c r="X9" i="7" a="1"/>
  <c r="X9" i="7" s="1"/>
  <c r="Y9" i="7" a="1"/>
  <c r="Y9" i="7" s="1"/>
  <c r="Z9" i="7" a="1"/>
  <c r="Z9" i="7" s="1"/>
  <c r="AA9" i="7" a="1"/>
  <c r="AA9" i="7" s="1"/>
  <c r="AB9" i="7" a="1"/>
  <c r="AB9" i="7" s="1"/>
  <c r="AC9" i="7" a="1"/>
  <c r="AC9" i="7" s="1"/>
  <c r="AD9" i="7" a="1"/>
  <c r="AD9" i="7" s="1"/>
  <c r="AE9" i="7" a="1"/>
  <c r="AE9" i="7" s="1"/>
  <c r="AF9" i="7" a="1"/>
  <c r="AF9" i="7" s="1"/>
  <c r="AG9" i="7" a="1"/>
  <c r="AG9" i="7" s="1"/>
  <c r="AH9" i="7" a="1"/>
  <c r="AH9" i="7" s="1"/>
  <c r="AI9" i="7" a="1"/>
  <c r="AI9" i="7" s="1"/>
  <c r="AJ9" i="7" a="1"/>
  <c r="AJ9" i="7" s="1"/>
  <c r="AK9" i="7" a="1"/>
  <c r="AK9" i="7" s="1"/>
  <c r="AL9" i="7" a="1"/>
  <c r="AL9" i="7" s="1"/>
  <c r="O3" i="7" a="1"/>
  <c r="O3" i="7" s="1"/>
  <c r="O4" i="7" a="1"/>
  <c r="O4" i="7" s="1"/>
  <c r="O5" i="7" a="1"/>
  <c r="O5" i="7" s="1"/>
  <c r="O6" i="7" a="1"/>
  <c r="O6" i="7" s="1"/>
  <c r="O7" i="7" a="1"/>
  <c r="O7" i="7" s="1"/>
  <c r="O8" i="7" a="1"/>
  <c r="O8" i="7" s="1"/>
  <c r="O9" i="7" a="1"/>
  <c r="O9" i="7" s="1"/>
  <c r="O2" i="7" a="1"/>
  <c r="O2" i="7" s="1"/>
  <c r="N3" i="7" a="1"/>
  <c r="N3" i="7" s="1"/>
  <c r="N4" i="7" a="1"/>
  <c r="N4" i="7" s="1"/>
  <c r="N5" i="7" a="1"/>
  <c r="N5" i="7" s="1"/>
  <c r="N6" i="7" a="1"/>
  <c r="N6" i="7" s="1"/>
  <c r="N7" i="7" a="1"/>
  <c r="N7" i="7" s="1"/>
  <c r="N8" i="7" a="1"/>
  <c r="N8" i="7" s="1"/>
  <c r="N9" i="7" a="1"/>
  <c r="N9" i="7" s="1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2" i="3"/>
  <c r="Q2" i="6" a="1"/>
  <c r="Q2" i="6" s="1"/>
  <c r="R2" i="6" a="1"/>
  <c r="R2" i="6" s="1"/>
  <c r="S2" i="6" a="1"/>
  <c r="S2" i="6" s="1"/>
  <c r="T2" i="6" a="1"/>
  <c r="T2" i="6" s="1"/>
  <c r="U2" i="6" a="1"/>
  <c r="U2" i="6" s="1"/>
  <c r="W2" i="6" a="1"/>
  <c r="W2" i="6" s="1"/>
  <c r="X2" i="6" a="1"/>
  <c r="X2" i="6" s="1"/>
  <c r="Y2" i="6" a="1"/>
  <c r="Y2" i="6" s="1"/>
  <c r="Z2" i="6" a="1"/>
  <c r="Z2" i="6" s="1"/>
  <c r="AA2" i="6" a="1"/>
  <c r="AA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AG2" i="6" a="1"/>
  <c r="AG2" i="6" s="1"/>
  <c r="AH2" i="6" a="1"/>
  <c r="AH2" i="6" s="1"/>
  <c r="AI2" i="6" a="1"/>
  <c r="AI2" i="6" s="1"/>
  <c r="AJ2" i="6" a="1"/>
  <c r="AJ2" i="6" s="1"/>
  <c r="AK2" i="6" a="1"/>
  <c r="AK2" i="6" s="1"/>
  <c r="AL2" i="6" a="1"/>
  <c r="AL2" i="6" s="1"/>
  <c r="Q3" i="6" a="1"/>
  <c r="Q3" i="6" s="1"/>
  <c r="R3" i="6" a="1"/>
  <c r="R3" i="6" s="1"/>
  <c r="S3" i="6" a="1"/>
  <c r="S3" i="6" s="1"/>
  <c r="T3" i="6" a="1"/>
  <c r="T3" i="6" s="1"/>
  <c r="U3" i="6" a="1"/>
  <c r="U3" i="6" s="1"/>
  <c r="V3" i="6" a="1"/>
  <c r="V3" i="6" s="1"/>
  <c r="W3" i="6" a="1"/>
  <c r="W3" i="6" s="1"/>
  <c r="X3" i="6" a="1"/>
  <c r="X3" i="6" s="1"/>
  <c r="Y3" i="6" a="1"/>
  <c r="Y3" i="6" s="1"/>
  <c r="Z3" i="6" a="1"/>
  <c r="Z3" i="6" s="1"/>
  <c r="AA3" i="6" a="1"/>
  <c r="AA3" i="6" s="1"/>
  <c r="AB3" i="6" a="1"/>
  <c r="AB3" i="6" s="1"/>
  <c r="AC3" i="6" a="1"/>
  <c r="AC3" i="6" s="1"/>
  <c r="AD3" i="6" a="1"/>
  <c r="AD3" i="6" s="1"/>
  <c r="AE3" i="6" a="1"/>
  <c r="AE3" i="6" s="1"/>
  <c r="AF3" i="6" a="1"/>
  <c r="AF3" i="6" s="1"/>
  <c r="AG3" i="6" a="1"/>
  <c r="AG3" i="6" s="1"/>
  <c r="AH3" i="6" a="1"/>
  <c r="AH3" i="6" s="1"/>
  <c r="AI3" i="6" a="1"/>
  <c r="AI3" i="6" s="1"/>
  <c r="AJ3" i="6" a="1"/>
  <c r="AJ3" i="6" s="1"/>
  <c r="AK3" i="6" a="1"/>
  <c r="AK3" i="6" s="1"/>
  <c r="AL3" i="6" a="1"/>
  <c r="AL3" i="6" s="1"/>
  <c r="Q4" i="6" a="1"/>
  <c r="Q4" i="6" s="1"/>
  <c r="R4" i="6" a="1"/>
  <c r="R4" i="6" s="1"/>
  <c r="S4" i="6" a="1"/>
  <c r="S4" i="6" s="1"/>
  <c r="T4" i="6" a="1"/>
  <c r="T4" i="6" s="1"/>
  <c r="U4" i="6" a="1"/>
  <c r="U4" i="6" s="1"/>
  <c r="V4" i="6" a="1"/>
  <c r="V4" i="6" s="1"/>
  <c r="W4" i="6" a="1"/>
  <c r="W4" i="6" s="1"/>
  <c r="X4" i="6" a="1"/>
  <c r="X4" i="6" s="1"/>
  <c r="Y4" i="6" a="1"/>
  <c r="Y4" i="6" s="1"/>
  <c r="Z4" i="6" a="1"/>
  <c r="Z4" i="6" s="1"/>
  <c r="AA4" i="6" a="1"/>
  <c r="AA4" i="6" s="1"/>
  <c r="AB4" i="6" a="1"/>
  <c r="AB4" i="6" s="1"/>
  <c r="AC4" i="6" a="1"/>
  <c r="AC4" i="6" s="1"/>
  <c r="AD4" i="6" a="1"/>
  <c r="AD4" i="6" s="1"/>
  <c r="AE4" i="6" a="1"/>
  <c r="AE4" i="6" s="1"/>
  <c r="AF4" i="6" a="1"/>
  <c r="AF4" i="6" s="1"/>
  <c r="AG4" i="6" a="1"/>
  <c r="AG4" i="6" s="1"/>
  <c r="AH4" i="6" a="1"/>
  <c r="AH4" i="6" s="1"/>
  <c r="AI4" i="6" a="1"/>
  <c r="AI4" i="6" s="1"/>
  <c r="AJ4" i="6" a="1"/>
  <c r="AJ4" i="6" s="1"/>
  <c r="AK4" i="6" a="1"/>
  <c r="AK4" i="6" s="1"/>
  <c r="AL4" i="6" a="1"/>
  <c r="AL4" i="6" s="1"/>
  <c r="Q5" i="6" a="1"/>
  <c r="Q5" i="6" s="1"/>
  <c r="R5" i="6" a="1"/>
  <c r="R5" i="6" s="1"/>
  <c r="S5" i="6" a="1"/>
  <c r="S5" i="6" s="1"/>
  <c r="T5" i="6" a="1"/>
  <c r="T5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AG5" i="6" a="1"/>
  <c r="AG5" i="6" s="1"/>
  <c r="AH5" i="6" a="1"/>
  <c r="AH5" i="6" s="1"/>
  <c r="AI5" i="6" a="1"/>
  <c r="AI5" i="6" s="1"/>
  <c r="AJ5" i="6" a="1"/>
  <c r="AJ5" i="6" s="1"/>
  <c r="AK5" i="6" a="1"/>
  <c r="AK5" i="6" s="1"/>
  <c r="AL5" i="6" a="1"/>
  <c r="AL5" i="6" s="1"/>
  <c r="Q6" i="6" a="1"/>
  <c r="Q6" i="6" s="1"/>
  <c r="R6" i="6" a="1"/>
  <c r="R6" i="6" s="1"/>
  <c r="S6" i="6" a="1"/>
  <c r="S6" i="6" s="1"/>
  <c r="T6" i="6" a="1"/>
  <c r="T6" i="6" s="1"/>
  <c r="U6" i="6" a="1"/>
  <c r="U6" i="6" s="1"/>
  <c r="V6" i="6" a="1"/>
  <c r="V6" i="6" s="1"/>
  <c r="W6" i="6" a="1"/>
  <c r="W6" i="6" s="1"/>
  <c r="X6" i="6" a="1"/>
  <c r="X6" i="6" s="1"/>
  <c r="Y6" i="6" a="1"/>
  <c r="Y6" i="6" s="1"/>
  <c r="Z6" i="6" a="1"/>
  <c r="Z6" i="6" s="1"/>
  <c r="AA6" i="6" a="1"/>
  <c r="AA6" i="6" s="1"/>
  <c r="AB6" i="6" a="1"/>
  <c r="AB6" i="6" s="1"/>
  <c r="AC6" i="6" a="1"/>
  <c r="AC6" i="6" s="1"/>
  <c r="AD6" i="6" a="1"/>
  <c r="AD6" i="6" s="1"/>
  <c r="AE6" i="6" a="1"/>
  <c r="AE6" i="6" s="1"/>
  <c r="AF6" i="6" a="1"/>
  <c r="AF6" i="6" s="1"/>
  <c r="AG6" i="6" a="1"/>
  <c r="AG6" i="6" s="1"/>
  <c r="AH6" i="6" a="1"/>
  <c r="AH6" i="6" s="1"/>
  <c r="AI6" i="6" a="1"/>
  <c r="AI6" i="6" s="1"/>
  <c r="AJ6" i="6" a="1"/>
  <c r="AJ6" i="6" s="1"/>
  <c r="AK6" i="6" a="1"/>
  <c r="AK6" i="6" s="1"/>
  <c r="AL6" i="6" a="1"/>
  <c r="AL6" i="6" s="1"/>
  <c r="Q7" i="6" a="1"/>
  <c r="Q7" i="6" s="1"/>
  <c r="R7" i="6" a="1"/>
  <c r="R7" i="6" s="1"/>
  <c r="S7" i="6" a="1"/>
  <c r="S7" i="6" s="1"/>
  <c r="T7" i="6" a="1"/>
  <c r="T7" i="6" s="1"/>
  <c r="U7" i="6" a="1"/>
  <c r="U7" i="6" s="1"/>
  <c r="V7" i="6" a="1"/>
  <c r="V7" i="6" s="1"/>
  <c r="W7" i="6" a="1"/>
  <c r="W7" i="6" s="1"/>
  <c r="X7" i="6" a="1"/>
  <c r="X7" i="6" s="1"/>
  <c r="Y7" i="6" a="1"/>
  <c r="Y7" i="6" s="1"/>
  <c r="Z7" i="6" a="1"/>
  <c r="Z7" i="6" s="1"/>
  <c r="AA7" i="6" a="1"/>
  <c r="AA7" i="6" s="1"/>
  <c r="AB7" i="6" a="1"/>
  <c r="AB7" i="6" s="1"/>
  <c r="AC7" i="6" a="1"/>
  <c r="AC7" i="6" s="1"/>
  <c r="AD7" i="6" a="1"/>
  <c r="AD7" i="6" s="1"/>
  <c r="AE7" i="6" a="1"/>
  <c r="AE7" i="6" s="1"/>
  <c r="AF7" i="6" a="1"/>
  <c r="AF7" i="6" s="1"/>
  <c r="AG7" i="6" a="1"/>
  <c r="AG7" i="6" s="1"/>
  <c r="AH7" i="6" a="1"/>
  <c r="AH7" i="6" s="1"/>
  <c r="AI7" i="6" a="1"/>
  <c r="AI7" i="6" s="1"/>
  <c r="AJ7" i="6" a="1"/>
  <c r="AJ7" i="6" s="1"/>
  <c r="AK7" i="6" a="1"/>
  <c r="AK7" i="6" s="1"/>
  <c r="AL7" i="6" a="1"/>
  <c r="AL7" i="6" s="1"/>
  <c r="Q8" i="6" a="1"/>
  <c r="Q8" i="6" s="1"/>
  <c r="R8" i="6" a="1"/>
  <c r="R8" i="6" s="1"/>
  <c r="S8" i="6" a="1"/>
  <c r="S8" i="6" s="1"/>
  <c r="T8" i="6" a="1"/>
  <c r="T8" i="6" s="1"/>
  <c r="U8" i="6" a="1"/>
  <c r="U8" i="6" s="1"/>
  <c r="V8" i="6" a="1"/>
  <c r="V8" i="6" s="1"/>
  <c r="W8" i="6" a="1"/>
  <c r="W8" i="6" s="1"/>
  <c r="X8" i="6" a="1"/>
  <c r="X8" i="6" s="1"/>
  <c r="Y8" i="6" a="1"/>
  <c r="Y8" i="6" s="1"/>
  <c r="Z8" i="6" a="1"/>
  <c r="Z8" i="6" s="1"/>
  <c r="AA8" i="6" a="1"/>
  <c r="AA8" i="6" s="1"/>
  <c r="AB8" i="6" a="1"/>
  <c r="AB8" i="6" s="1"/>
  <c r="AC8" i="6" a="1"/>
  <c r="AC8" i="6" s="1"/>
  <c r="AD8" i="6" a="1"/>
  <c r="AD8" i="6" s="1"/>
  <c r="AE8" i="6" a="1"/>
  <c r="AE8" i="6" s="1"/>
  <c r="AF8" i="6" a="1"/>
  <c r="AF8" i="6" s="1"/>
  <c r="AG8" i="6" a="1"/>
  <c r="AG8" i="6" s="1"/>
  <c r="AH8" i="6" a="1"/>
  <c r="AH8" i="6" s="1"/>
  <c r="AI8" i="6" a="1"/>
  <c r="AI8" i="6" s="1"/>
  <c r="AJ8" i="6" a="1"/>
  <c r="AJ8" i="6" s="1"/>
  <c r="AK8" i="6" a="1"/>
  <c r="AK8" i="6" s="1"/>
  <c r="AL8" i="6" a="1"/>
  <c r="AL8" i="6" s="1"/>
  <c r="Q9" i="6" a="1"/>
  <c r="Q9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AG9" i="6" a="1"/>
  <c r="AG9" i="6" s="1"/>
  <c r="AH9" i="6" a="1"/>
  <c r="AH9" i="6" s="1"/>
  <c r="AI9" i="6" a="1"/>
  <c r="AI9" i="6" s="1"/>
  <c r="AJ9" i="6" a="1"/>
  <c r="AJ9" i="6" s="1"/>
  <c r="AK9" i="6" a="1"/>
  <c r="AK9" i="6" s="1"/>
  <c r="AL9" i="6" a="1"/>
  <c r="AL9" i="6" s="1"/>
  <c r="P2" i="6" a="1"/>
  <c r="P2" i="6" s="1"/>
  <c r="P3" i="6" a="1"/>
  <c r="P3" i="6" s="1"/>
  <c r="P4" i="6" a="1"/>
  <c r="P4" i="6" s="1"/>
  <c r="P5" i="6" a="1"/>
  <c r="P5" i="6" s="1"/>
  <c r="P6" i="6" a="1"/>
  <c r="P6" i="6" s="1"/>
  <c r="P7" i="6" a="1"/>
  <c r="P7" i="6" s="1"/>
  <c r="P8" i="6" a="1"/>
  <c r="P8" i="6" s="1"/>
  <c r="P9" i="6" a="1"/>
  <c r="P9" i="6" s="1"/>
  <c r="O3" i="6" a="1"/>
  <c r="O3" i="6" s="1"/>
  <c r="O4" i="6" a="1"/>
  <c r="O4" i="6" s="1"/>
  <c r="O5" i="6" a="1"/>
  <c r="O5" i="6" s="1"/>
  <c r="O6" i="6" a="1"/>
  <c r="O6" i="6" s="1"/>
  <c r="O7" i="6" a="1"/>
  <c r="O7" i="6" s="1"/>
  <c r="O8" i="6" a="1"/>
  <c r="O8" i="6" s="1"/>
  <c r="O9" i="6" a="1"/>
  <c r="O9" i="6" s="1"/>
  <c r="O2" i="6" a="1"/>
  <c r="O2" i="6" s="1"/>
  <c r="N3" i="6" a="1"/>
  <c r="N3" i="6" s="1"/>
  <c r="N4" i="6" a="1"/>
  <c r="N4" i="6" s="1"/>
  <c r="N5" i="6" a="1"/>
  <c r="N5" i="6" s="1"/>
  <c r="N6" i="6" a="1"/>
  <c r="N6" i="6" s="1"/>
  <c r="N7" i="6" a="1"/>
  <c r="N7" i="6" s="1"/>
  <c r="N8" i="6" a="1"/>
  <c r="N8" i="6" s="1"/>
  <c r="N9" i="6" a="1"/>
  <c r="N9" i="6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2" i="2"/>
  <c r="N2" i="4" a="1"/>
  <c r="N2" i="4" s="1"/>
  <c r="N4" i="4" a="1"/>
  <c r="N4" i="4" s="1"/>
  <c r="N5" i="4" a="1"/>
  <c r="N5" i="4" s="1"/>
  <c r="N6" i="4" a="1"/>
  <c r="N6" i="4" s="1"/>
  <c r="N7" i="4" a="1"/>
  <c r="N7" i="4" s="1"/>
  <c r="N8" i="4" a="1"/>
  <c r="N8" i="4" s="1"/>
  <c r="N9" i="4" a="1"/>
  <c r="N9" i="4" s="1"/>
  <c r="O2" i="4" a="1"/>
  <c r="O2" i="4" s="1"/>
  <c r="P2" i="4" a="1"/>
  <c r="P2" i="4" s="1"/>
  <c r="Q2" i="4" a="1"/>
  <c r="Q2" i="4" s="1"/>
  <c r="R2" i="4" a="1"/>
  <c r="R2" i="4" s="1"/>
  <c r="S2" i="4" a="1"/>
  <c r="S2" i="4" s="1"/>
  <c r="T2" i="4" a="1"/>
  <c r="T2" i="4" s="1"/>
  <c r="U2" i="4" a="1"/>
  <c r="U2" i="4" s="1"/>
  <c r="W2" i="4" a="1"/>
  <c r="W2" i="4" s="1"/>
  <c r="X2" i="4" a="1"/>
  <c r="X2" i="4" s="1"/>
  <c r="Y2" i="4" a="1"/>
  <c r="Y2" i="4" s="1"/>
  <c r="Z2" i="4" a="1"/>
  <c r="Z2" i="4" s="1"/>
  <c r="AA2" i="4" a="1"/>
  <c r="AA2" i="4" s="1"/>
  <c r="AB2" i="4" a="1"/>
  <c r="AB2" i="4" s="1"/>
  <c r="AC2" i="4" a="1"/>
  <c r="AC2" i="4" s="1"/>
  <c r="AD2" i="4" a="1"/>
  <c r="AD2" i="4" s="1"/>
  <c r="AE2" i="4" a="1"/>
  <c r="AE2" i="4" s="1"/>
  <c r="AF2" i="4" a="1"/>
  <c r="AF2" i="4" s="1"/>
  <c r="AG2" i="4" a="1"/>
  <c r="AG2" i="4" s="1"/>
  <c r="AH2" i="4" a="1"/>
  <c r="AH2" i="4" s="1"/>
  <c r="AI2" i="4" a="1"/>
  <c r="AI2" i="4" s="1"/>
  <c r="AJ2" i="4" a="1"/>
  <c r="AJ2" i="4" s="1"/>
  <c r="AK2" i="4" a="1"/>
  <c r="AK2" i="4" s="1"/>
  <c r="O3" i="4" a="1"/>
  <c r="O3" i="4" s="1"/>
  <c r="P3" i="4" a="1"/>
  <c r="P3" i="4" s="1"/>
  <c r="Q3" i="4" a="1"/>
  <c r="Q3" i="4" s="1"/>
  <c r="R3" i="4" a="1"/>
  <c r="R3" i="4" s="1"/>
  <c r="S3" i="4" a="1"/>
  <c r="S3" i="4" s="1"/>
  <c r="T3" i="4" a="1"/>
  <c r="T3" i="4" s="1"/>
  <c r="U3" i="4" a="1"/>
  <c r="U3" i="4" s="1"/>
  <c r="V3" i="4" a="1"/>
  <c r="V3" i="4" s="1"/>
  <c r="W3" i="4" a="1"/>
  <c r="W3" i="4" s="1"/>
  <c r="X3" i="4" a="1"/>
  <c r="X3" i="4" s="1"/>
  <c r="Y3" i="4" a="1"/>
  <c r="Y3" i="4" s="1"/>
  <c r="Z3" i="4" a="1"/>
  <c r="Z3" i="4" s="1"/>
  <c r="AA3" i="4" a="1"/>
  <c r="AA3" i="4" s="1"/>
  <c r="AB3" i="4" a="1"/>
  <c r="AB3" i="4" s="1"/>
  <c r="AC3" i="4" a="1"/>
  <c r="AC3" i="4" s="1"/>
  <c r="AD3" i="4" a="1"/>
  <c r="AD3" i="4" s="1"/>
  <c r="AE3" i="4" a="1"/>
  <c r="AE3" i="4" s="1"/>
  <c r="AF3" i="4" a="1"/>
  <c r="AF3" i="4" s="1"/>
  <c r="AG3" i="4" a="1"/>
  <c r="AG3" i="4" s="1"/>
  <c r="AH3" i="4" a="1"/>
  <c r="AH3" i="4" s="1"/>
  <c r="AI3" i="4" a="1"/>
  <c r="AI3" i="4" s="1"/>
  <c r="AJ3" i="4" a="1"/>
  <c r="AJ3" i="4" s="1"/>
  <c r="AK3" i="4" a="1"/>
  <c r="AK3" i="4" s="1"/>
  <c r="O4" i="4" a="1"/>
  <c r="O4" i="4" s="1"/>
  <c r="P4" i="4" a="1"/>
  <c r="P4" i="4" s="1"/>
  <c r="Q4" i="4" a="1"/>
  <c r="Q4" i="4" s="1"/>
  <c r="R4" i="4" a="1"/>
  <c r="R4" i="4" s="1"/>
  <c r="S4" i="4" a="1"/>
  <c r="S4" i="4" s="1"/>
  <c r="T4" i="4" a="1"/>
  <c r="T4" i="4" s="1"/>
  <c r="U4" i="4" a="1"/>
  <c r="U4" i="4" s="1"/>
  <c r="V4" i="4" a="1"/>
  <c r="V4" i="4" s="1"/>
  <c r="W4" i="4" a="1"/>
  <c r="W4" i="4" s="1"/>
  <c r="X4" i="4" a="1"/>
  <c r="X4" i="4" s="1"/>
  <c r="Y4" i="4" a="1"/>
  <c r="Y4" i="4" s="1"/>
  <c r="Z4" i="4" a="1"/>
  <c r="Z4" i="4" s="1"/>
  <c r="AA4" i="4" a="1"/>
  <c r="AA4" i="4" s="1"/>
  <c r="AB4" i="4" a="1"/>
  <c r="AB4" i="4" s="1"/>
  <c r="AC4" i="4" a="1"/>
  <c r="AC4" i="4" s="1"/>
  <c r="AD4" i="4" a="1"/>
  <c r="AD4" i="4" s="1"/>
  <c r="AE4" i="4" a="1"/>
  <c r="AE4" i="4" s="1"/>
  <c r="AF4" i="4" a="1"/>
  <c r="AF4" i="4" s="1"/>
  <c r="AG4" i="4" a="1"/>
  <c r="AG4" i="4" s="1"/>
  <c r="AH4" i="4" a="1"/>
  <c r="AH4" i="4" s="1"/>
  <c r="AI4" i="4" a="1"/>
  <c r="AI4" i="4" s="1"/>
  <c r="AJ4" i="4" a="1"/>
  <c r="AJ4" i="4" s="1"/>
  <c r="AK4" i="4" a="1"/>
  <c r="AK4" i="4" s="1"/>
  <c r="O5" i="4" a="1"/>
  <c r="O5" i="4" s="1"/>
  <c r="P5" i="4" a="1"/>
  <c r="P5" i="4" s="1"/>
  <c r="Q5" i="4" a="1"/>
  <c r="Q5" i="4" s="1"/>
  <c r="R5" i="4" a="1"/>
  <c r="R5" i="4" s="1"/>
  <c r="S5" i="4" a="1"/>
  <c r="S5" i="4" s="1"/>
  <c r="T5" i="4" a="1"/>
  <c r="T5" i="4" s="1"/>
  <c r="U5" i="4" a="1"/>
  <c r="U5" i="4" s="1"/>
  <c r="V5" i="4" a="1"/>
  <c r="V5" i="4" s="1"/>
  <c r="W5" i="4" a="1"/>
  <c r="W5" i="4" s="1"/>
  <c r="X5" i="4" a="1"/>
  <c r="X5" i="4" s="1"/>
  <c r="Y5" i="4" a="1"/>
  <c r="Y5" i="4" s="1"/>
  <c r="Z5" i="4" a="1"/>
  <c r="Z5" i="4" s="1"/>
  <c r="AA5" i="4" a="1"/>
  <c r="AA5" i="4" s="1"/>
  <c r="AB5" i="4" a="1"/>
  <c r="AB5" i="4" s="1"/>
  <c r="AC5" i="4" a="1"/>
  <c r="AC5" i="4" s="1"/>
  <c r="AD5" i="4" a="1"/>
  <c r="AD5" i="4" s="1"/>
  <c r="AE5" i="4" a="1"/>
  <c r="AE5" i="4" s="1"/>
  <c r="AF5" i="4" a="1"/>
  <c r="AF5" i="4" s="1"/>
  <c r="AG5" i="4" a="1"/>
  <c r="AG5" i="4" s="1"/>
  <c r="AH5" i="4" a="1"/>
  <c r="AH5" i="4" s="1"/>
  <c r="AI5" i="4" a="1"/>
  <c r="AI5" i="4" s="1"/>
  <c r="AJ5" i="4" a="1"/>
  <c r="AJ5" i="4" s="1"/>
  <c r="AK5" i="4" a="1"/>
  <c r="AK5" i="4" s="1"/>
  <c r="O6" i="4" a="1"/>
  <c r="O6" i="4" s="1"/>
  <c r="P6" i="4" a="1"/>
  <c r="P6" i="4" s="1"/>
  <c r="Q6" i="4" a="1"/>
  <c r="Q6" i="4" s="1"/>
  <c r="R6" i="4" a="1"/>
  <c r="R6" i="4" s="1"/>
  <c r="S6" i="4" a="1"/>
  <c r="S6" i="4" s="1"/>
  <c r="T6" i="4" a="1"/>
  <c r="T6" i="4" s="1"/>
  <c r="U6" i="4" a="1"/>
  <c r="U6" i="4" s="1"/>
  <c r="V6" i="4" a="1"/>
  <c r="V6" i="4" s="1"/>
  <c r="W6" i="4" a="1"/>
  <c r="W6" i="4" s="1"/>
  <c r="X6" i="4" a="1"/>
  <c r="X6" i="4" s="1"/>
  <c r="Y6" i="4" a="1"/>
  <c r="Y6" i="4" s="1"/>
  <c r="Z6" i="4" a="1"/>
  <c r="Z6" i="4" s="1"/>
  <c r="AA6" i="4" a="1"/>
  <c r="AA6" i="4" s="1"/>
  <c r="AB6" i="4" a="1"/>
  <c r="AB6" i="4" s="1"/>
  <c r="AC6" i="4" a="1"/>
  <c r="AC6" i="4" s="1"/>
  <c r="AD6" i="4" a="1"/>
  <c r="AD6" i="4" s="1"/>
  <c r="AE6" i="4" a="1"/>
  <c r="AE6" i="4" s="1"/>
  <c r="AF6" i="4" a="1"/>
  <c r="AF6" i="4" s="1"/>
  <c r="AG6" i="4" a="1"/>
  <c r="AG6" i="4" s="1"/>
  <c r="AH6" i="4" a="1"/>
  <c r="AH6" i="4" s="1"/>
  <c r="AI6" i="4" a="1"/>
  <c r="AI6" i="4" s="1"/>
  <c r="AJ6" i="4" a="1"/>
  <c r="AJ6" i="4" s="1"/>
  <c r="AK6" i="4" a="1"/>
  <c r="AK6" i="4" s="1"/>
  <c r="O7" i="4" a="1"/>
  <c r="O7" i="4" s="1"/>
  <c r="P7" i="4" a="1"/>
  <c r="P7" i="4" s="1"/>
  <c r="Q7" i="4" a="1"/>
  <c r="Q7" i="4" s="1"/>
  <c r="R7" i="4" a="1"/>
  <c r="R7" i="4" s="1"/>
  <c r="S7" i="4" a="1"/>
  <c r="S7" i="4" s="1"/>
  <c r="T7" i="4" a="1"/>
  <c r="T7" i="4" s="1"/>
  <c r="U7" i="4" a="1"/>
  <c r="U7" i="4" s="1"/>
  <c r="V7" i="4" a="1"/>
  <c r="V7" i="4" s="1"/>
  <c r="W7" i="4" a="1"/>
  <c r="W7" i="4" s="1"/>
  <c r="X7" i="4" a="1"/>
  <c r="X7" i="4" s="1"/>
  <c r="Y7" i="4" a="1"/>
  <c r="Y7" i="4" s="1"/>
  <c r="Z7" i="4" a="1"/>
  <c r="Z7" i="4" s="1"/>
  <c r="AA7" i="4" a="1"/>
  <c r="AA7" i="4" s="1"/>
  <c r="AB7" i="4" a="1"/>
  <c r="AB7" i="4" s="1"/>
  <c r="AC7" i="4" a="1"/>
  <c r="AC7" i="4" s="1"/>
  <c r="AD7" i="4" a="1"/>
  <c r="AD7" i="4" s="1"/>
  <c r="AE7" i="4" a="1"/>
  <c r="AE7" i="4" s="1"/>
  <c r="AF7" i="4" a="1"/>
  <c r="AF7" i="4" s="1"/>
  <c r="AG7" i="4" a="1"/>
  <c r="AG7" i="4" s="1"/>
  <c r="AH7" i="4" a="1"/>
  <c r="AH7" i="4" s="1"/>
  <c r="AI7" i="4" a="1"/>
  <c r="AI7" i="4" s="1"/>
  <c r="AJ7" i="4" a="1"/>
  <c r="AJ7" i="4" s="1"/>
  <c r="AK7" i="4" a="1"/>
  <c r="AK7" i="4" s="1"/>
  <c r="O8" i="4" a="1"/>
  <c r="O8" i="4" s="1"/>
  <c r="P8" i="4" a="1"/>
  <c r="P8" i="4" s="1"/>
  <c r="Q8" i="4" a="1"/>
  <c r="Q8" i="4" s="1"/>
  <c r="R8" i="4" a="1"/>
  <c r="R8" i="4" s="1"/>
  <c r="S8" i="4" a="1"/>
  <c r="S8" i="4" s="1"/>
  <c r="T8" i="4" a="1"/>
  <c r="T8" i="4" s="1"/>
  <c r="U8" i="4" a="1"/>
  <c r="U8" i="4" s="1"/>
  <c r="V8" i="4" a="1"/>
  <c r="V8" i="4" s="1"/>
  <c r="W8" i="4" a="1"/>
  <c r="W8" i="4" s="1"/>
  <c r="X8" i="4" a="1"/>
  <c r="X8" i="4" s="1"/>
  <c r="Y8" i="4" a="1"/>
  <c r="Y8" i="4" s="1"/>
  <c r="Z8" i="4" a="1"/>
  <c r="Z8" i="4" s="1"/>
  <c r="AA8" i="4" a="1"/>
  <c r="AA8" i="4" s="1"/>
  <c r="AB8" i="4" a="1"/>
  <c r="AB8" i="4" s="1"/>
  <c r="AC8" i="4" a="1"/>
  <c r="AC8" i="4" s="1"/>
  <c r="AD8" i="4" a="1"/>
  <c r="AD8" i="4" s="1"/>
  <c r="AE8" i="4" a="1"/>
  <c r="AE8" i="4" s="1"/>
  <c r="AF8" i="4" a="1"/>
  <c r="AF8" i="4" s="1"/>
  <c r="AG8" i="4" a="1"/>
  <c r="AG8" i="4" s="1"/>
  <c r="AH8" i="4" a="1"/>
  <c r="AH8" i="4" s="1"/>
  <c r="AI8" i="4" a="1"/>
  <c r="AI8" i="4" s="1"/>
  <c r="AJ8" i="4" a="1"/>
  <c r="AJ8" i="4" s="1"/>
  <c r="AK8" i="4" a="1"/>
  <c r="AK8" i="4" s="1"/>
  <c r="O9" i="4" a="1"/>
  <c r="O9" i="4" s="1"/>
  <c r="P9" i="4" a="1"/>
  <c r="P9" i="4" s="1"/>
  <c r="Q9" i="4" a="1"/>
  <c r="Q9" i="4" s="1"/>
  <c r="R9" i="4" a="1"/>
  <c r="R9" i="4" s="1"/>
  <c r="S9" i="4" a="1"/>
  <c r="S9" i="4" s="1"/>
  <c r="T9" i="4" a="1"/>
  <c r="T9" i="4" s="1"/>
  <c r="U9" i="4" a="1"/>
  <c r="U9" i="4" s="1"/>
  <c r="V9" i="4" a="1"/>
  <c r="V9" i="4" s="1"/>
  <c r="W9" i="4" a="1"/>
  <c r="W9" i="4" s="1"/>
  <c r="X9" i="4" a="1"/>
  <c r="X9" i="4" s="1"/>
  <c r="Y9" i="4" a="1"/>
  <c r="Y9" i="4" s="1"/>
  <c r="Z9" i="4" a="1"/>
  <c r="Z9" i="4" s="1"/>
  <c r="AA9" i="4" a="1"/>
  <c r="AA9" i="4" s="1"/>
  <c r="AB9" i="4" a="1"/>
  <c r="AB9" i="4" s="1"/>
  <c r="AC9" i="4" a="1"/>
  <c r="AC9" i="4" s="1"/>
  <c r="AD9" i="4" a="1"/>
  <c r="AD9" i="4" s="1"/>
  <c r="AE9" i="4" a="1"/>
  <c r="AE9" i="4" s="1"/>
  <c r="AF9" i="4" a="1"/>
  <c r="AF9" i="4" s="1"/>
  <c r="AG9" i="4" a="1"/>
  <c r="AG9" i="4" s="1"/>
  <c r="AH9" i="4" a="1"/>
  <c r="AH9" i="4" s="1"/>
  <c r="AI9" i="4" a="1"/>
  <c r="AI9" i="4" s="1"/>
  <c r="AJ9" i="4" a="1"/>
  <c r="AJ9" i="4" s="1"/>
  <c r="AK9" i="4" a="1"/>
  <c r="AK9" i="4" s="1"/>
  <c r="U21" i="13" l="1" a="1"/>
  <c r="U21" i="13" s="1"/>
  <c r="S2" i="13" a="1"/>
  <c r="S2" i="13" s="1"/>
  <c r="V7" i="13" a="1"/>
  <c r="V7" i="13" s="1"/>
  <c r="S20" i="13" a="1"/>
  <c r="S20" i="13" s="1"/>
  <c r="T6" i="13" a="1"/>
  <c r="T6" i="13" s="1"/>
  <c r="V17" i="13" a="1"/>
  <c r="V17" i="13" s="1"/>
  <c r="X6" i="13" a="1"/>
  <c r="X6" i="13" s="1"/>
  <c r="S14" i="13" a="1"/>
  <c r="S14" i="13" s="1"/>
  <c r="U3" i="13" a="1"/>
  <c r="U3" i="13" s="1"/>
  <c r="U16" i="13" a="1"/>
  <c r="U16" i="13" s="1"/>
  <c r="U7" i="13" a="1"/>
  <c r="U7" i="13" s="1"/>
  <c r="W11" i="13" a="1"/>
  <c r="W11" i="13" s="1"/>
  <c r="U2" i="13" a="1"/>
  <c r="U2" i="13" s="1"/>
  <c r="X2" i="13" a="1"/>
  <c r="X2" i="13" s="1"/>
  <c r="W21" i="13" a="1"/>
  <c r="W21" i="13" s="1"/>
  <c r="W10" i="13" a="1"/>
  <c r="W10" i="13" s="1"/>
  <c r="W5" i="13" a="1"/>
  <c r="W5" i="13" s="1"/>
  <c r="T16" i="13" a="1"/>
  <c r="T16" i="13" s="1"/>
  <c r="V12" i="13" a="1"/>
  <c r="V12" i="13" s="1"/>
  <c r="V6" i="13" a="1"/>
  <c r="V6" i="13" s="1"/>
  <c r="X20" i="13" a="1"/>
  <c r="X20" i="13" s="1"/>
  <c r="X15" i="13" a="1"/>
  <c r="X15" i="13" s="1"/>
  <c r="S13" i="13" a="1"/>
  <c r="S13" i="13" s="1"/>
  <c r="S7" i="13" a="1"/>
  <c r="S7" i="13" s="1"/>
  <c r="T21" i="13" a="1"/>
  <c r="T21" i="13" s="1"/>
  <c r="T15" i="13" a="1"/>
  <c r="T15" i="13" s="1"/>
  <c r="T10" i="13" a="1"/>
  <c r="T10" i="13" s="1"/>
  <c r="T5" i="13" a="1"/>
  <c r="T5" i="13" s="1"/>
  <c r="U20" i="13" a="1"/>
  <c r="U20" i="13" s="1"/>
  <c r="U11" i="13" a="1"/>
  <c r="U11" i="13" s="1"/>
  <c r="U6" i="13" a="1"/>
  <c r="U6" i="13" s="1"/>
  <c r="V11" i="13" a="1"/>
  <c r="V11" i="13" s="1"/>
  <c r="W20" i="13" a="1"/>
  <c r="W20" i="13" s="1"/>
  <c r="W15" i="13" a="1"/>
  <c r="W15" i="13" s="1"/>
  <c r="W4" i="13" a="1"/>
  <c r="W4" i="13" s="1"/>
  <c r="X19" i="13" a="1"/>
  <c r="X19" i="13" s="1"/>
  <c r="X10" i="13" a="1"/>
  <c r="X10" i="13" s="1"/>
  <c r="S19" i="13" a="1"/>
  <c r="S19" i="13" s="1"/>
  <c r="S12" i="13" a="1"/>
  <c r="S12" i="13" s="1"/>
  <c r="S6" i="13" a="1"/>
  <c r="S6" i="13" s="1"/>
  <c r="T20" i="13" a="1"/>
  <c r="T20" i="13" s="1"/>
  <c r="T4" i="13" a="1"/>
  <c r="T4" i="13" s="1"/>
  <c r="U15" i="13" a="1"/>
  <c r="U15" i="13" s="1"/>
  <c r="U10" i="13" a="1"/>
  <c r="U10" i="13" s="1"/>
  <c r="V21" i="13" a="1"/>
  <c r="V21" i="13" s="1"/>
  <c r="V16" i="13" a="1"/>
  <c r="V16" i="13" s="1"/>
  <c r="V10" i="13" a="1"/>
  <c r="V10" i="13" s="1"/>
  <c r="V5" i="13" a="1"/>
  <c r="V5" i="13" s="1"/>
  <c r="W14" i="13" a="1"/>
  <c r="W14" i="13" s="1"/>
  <c r="W9" i="13" a="1"/>
  <c r="W9" i="13" s="1"/>
  <c r="X14" i="13" a="1"/>
  <c r="X14" i="13" s="1"/>
  <c r="X5" i="13" a="1"/>
  <c r="X5" i="13" s="1"/>
  <c r="S18" i="13" a="1"/>
  <c r="S18" i="13" s="1"/>
  <c r="S5" i="13" a="1"/>
  <c r="S5" i="13" s="1"/>
  <c r="T19" i="13" a="1"/>
  <c r="T19" i="13" s="1"/>
  <c r="T14" i="13" a="1"/>
  <c r="T14" i="13" s="1"/>
  <c r="T9" i="13" a="1"/>
  <c r="T9" i="13" s="1"/>
  <c r="T3" i="13" a="1"/>
  <c r="T3" i="13" s="1"/>
  <c r="U19" i="13" a="1"/>
  <c r="U19" i="13" s="1"/>
  <c r="U14" i="13" a="1"/>
  <c r="U14" i="13" s="1"/>
  <c r="U5" i="13" a="1"/>
  <c r="U5" i="13" s="1"/>
  <c r="V15" i="13" a="1"/>
  <c r="V15" i="13" s="1"/>
  <c r="W19" i="13" a="1"/>
  <c r="W19" i="13" s="1"/>
  <c r="W8" i="13" a="1"/>
  <c r="W8" i="13" s="1"/>
  <c r="W3" i="13" a="1"/>
  <c r="W3" i="13" s="1"/>
  <c r="X18" i="13" a="1"/>
  <c r="X18" i="13" s="1"/>
  <c r="X9" i="13" a="1"/>
  <c r="X9" i="13" s="1"/>
  <c r="S17" i="13" a="1"/>
  <c r="S17" i="13" s="1"/>
  <c r="S11" i="13" a="1"/>
  <c r="S11" i="13" s="1"/>
  <c r="S4" i="13" a="1"/>
  <c r="S4" i="13" s="1"/>
  <c r="T8" i="13" a="1"/>
  <c r="T8" i="13" s="1"/>
  <c r="U18" i="13" a="1"/>
  <c r="U18" i="13" s="1"/>
  <c r="U9" i="13" a="1"/>
  <c r="U9" i="13" s="1"/>
  <c r="V20" i="13" a="1"/>
  <c r="V20" i="13" s="1"/>
  <c r="V14" i="13" a="1"/>
  <c r="V14" i="13" s="1"/>
  <c r="V9" i="13" a="1"/>
  <c r="V9" i="13" s="1"/>
  <c r="V4" i="13" a="1"/>
  <c r="V4" i="13" s="1"/>
  <c r="W18" i="13" a="1"/>
  <c r="W18" i="13" s="1"/>
  <c r="W13" i="13" a="1"/>
  <c r="W13" i="13" s="1"/>
  <c r="W2" i="13" a="1"/>
  <c r="W2" i="13" s="1"/>
  <c r="X13" i="13" a="1"/>
  <c r="X13" i="13" s="1"/>
  <c r="X4" i="13" a="1"/>
  <c r="X4" i="13" s="1"/>
  <c r="S16" i="13" a="1"/>
  <c r="S16" i="13" s="1"/>
  <c r="S10" i="13" a="1"/>
  <c r="S10" i="13" s="1"/>
  <c r="T18" i="13" a="1"/>
  <c r="T18" i="13" s="1"/>
  <c r="T13" i="13" a="1"/>
  <c r="T13" i="13" s="1"/>
  <c r="T7" i="13" a="1"/>
  <c r="T7" i="13" s="1"/>
  <c r="T2" i="13" a="1"/>
  <c r="T2" i="13" s="1"/>
  <c r="U13" i="13" a="1"/>
  <c r="U13" i="13" s="1"/>
  <c r="U4" i="13" a="1"/>
  <c r="U4" i="13" s="1"/>
  <c r="V19" i="13" a="1"/>
  <c r="V19" i="13" s="1"/>
  <c r="V3" i="13" a="1"/>
  <c r="V3" i="13" s="1"/>
  <c r="W12" i="13" a="1"/>
  <c r="W12" i="13" s="1"/>
  <c r="W7" i="13" a="1"/>
  <c r="W7" i="13" s="1"/>
  <c r="X17" i="13" a="1"/>
  <c r="X17" i="13" s="1"/>
  <c r="X8" i="13" a="1"/>
  <c r="X8" i="13" s="1"/>
  <c r="X3" i="13" a="1"/>
  <c r="X3" i="13" s="1"/>
  <c r="S9" i="13" a="1"/>
  <c r="S9" i="13" s="1"/>
  <c r="S3" i="13" a="1"/>
  <c r="S3" i="13" s="1"/>
  <c r="T12" i="13" a="1"/>
  <c r="T12" i="13" s="1"/>
  <c r="U17" i="13" a="1"/>
  <c r="U17" i="13" s="1"/>
  <c r="U8" i="13" a="1"/>
  <c r="U8" i="13" s="1"/>
  <c r="V18" i="13" a="1"/>
  <c r="V18" i="13" s="1"/>
  <c r="V13" i="13" a="1"/>
  <c r="V13" i="13" s="1"/>
  <c r="V8" i="13" a="1"/>
  <c r="V8" i="13" s="1"/>
  <c r="V2" i="13" a="1"/>
  <c r="V2" i="13" s="1"/>
  <c r="W17" i="13" a="1"/>
  <c r="W17" i="13" s="1"/>
  <c r="W6" i="13" a="1"/>
  <c r="W6" i="13" s="1"/>
  <c r="X21" i="13" a="1"/>
  <c r="X21" i="13" s="1"/>
  <c r="X12" i="13" a="1"/>
  <c r="X12" i="13" s="1"/>
  <c r="X7" i="13" a="1"/>
  <c r="X7" i="13" s="1"/>
  <c r="S21" i="13" a="1"/>
  <c r="S21" i="13" s="1"/>
  <c r="S15" i="13" a="1"/>
  <c r="S15" i="13" s="1"/>
  <c r="S8" i="13" a="1"/>
  <c r="S8" i="13" s="1"/>
  <c r="T17" i="13" a="1"/>
  <c r="T17" i="13" s="1"/>
  <c r="T11" i="13" a="1"/>
  <c r="T11" i="13" s="1"/>
  <c r="U12" i="13" a="1"/>
  <c r="U12" i="13" s="1"/>
  <c r="W16" i="13" a="1"/>
  <c r="W16" i="13" s="1"/>
  <c r="X16" i="13" a="1"/>
  <c r="X16" i="13" s="1"/>
  <c r="X11" i="13" a="1"/>
  <c r="X11" i="13" s="1"/>
  <c r="U4" i="8" a="1"/>
  <c r="U4" i="8" s="1"/>
  <c r="S2" i="8" a="1"/>
  <c r="S2" i="8" s="1"/>
  <c r="W4" i="8" a="1"/>
  <c r="W4" i="8" s="1"/>
  <c r="U3" i="8" a="1"/>
  <c r="U3" i="8" s="1"/>
  <c r="S3" i="8" a="1"/>
  <c r="S3" i="8" s="1"/>
  <c r="V3" i="8" a="1"/>
  <c r="V3" i="8" s="1"/>
  <c r="V4" i="8" a="1"/>
  <c r="V4" i="8" s="1"/>
  <c r="T2" i="8" a="1"/>
  <c r="T2" i="8" s="1"/>
  <c r="X3" i="8" a="1"/>
  <c r="X3" i="8" s="1"/>
  <c r="T4" i="8" a="1"/>
  <c r="T4" i="8" s="1"/>
  <c r="V2" i="8" a="1"/>
  <c r="V2" i="8" s="1"/>
  <c r="X2" i="8" a="1"/>
  <c r="X2" i="8" s="1"/>
  <c r="U2" i="8" a="1"/>
  <c r="U2" i="8" s="1"/>
  <c r="W3" i="8" a="1"/>
  <c r="W3" i="8" s="1"/>
  <c r="S4" i="8" a="1"/>
  <c r="S4" i="8" s="1"/>
  <c r="T3" i="8" a="1"/>
  <c r="T3" i="8" s="1"/>
  <c r="W2" i="8" a="1"/>
  <c r="W2" i="8" s="1"/>
  <c r="X4" i="8" a="1"/>
  <c r="X4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<sst xmlns="http://schemas.openxmlformats.org/spreadsheetml/2006/main" count="208" uniqueCount="62">
  <si>
    <t>Date</t>
  </si>
  <si>
    <t>BDN</t>
  </si>
  <si>
    <t>ME_cons</t>
  </si>
  <si>
    <t>F.vap_cons</t>
  </si>
  <si>
    <t>GE_cons</t>
  </si>
  <si>
    <t>BLR_cons</t>
  </si>
  <si>
    <t>ROB_cal</t>
  </si>
  <si>
    <t>ROB_cams</t>
  </si>
  <si>
    <t>Discrepancy</t>
  </si>
  <si>
    <t>Trim</t>
  </si>
  <si>
    <t>List</t>
  </si>
  <si>
    <t>Level_TK1</t>
  </si>
  <si>
    <t>Vap_temp_TK1</t>
  </si>
  <si>
    <t>Liq_temp_TK1</t>
  </si>
  <si>
    <t>Press_TK1</t>
  </si>
  <si>
    <t>Level_TK2</t>
  </si>
  <si>
    <t>Vap_temp_TK2</t>
  </si>
  <si>
    <t>Liq_temp_TK2</t>
  </si>
  <si>
    <t>Press_TK2</t>
  </si>
  <si>
    <t>PKI</t>
  </si>
  <si>
    <t>MN</t>
  </si>
  <si>
    <t>Min_MN</t>
  </si>
  <si>
    <t>Molar_Mass</t>
  </si>
  <si>
    <t>Density</t>
  </si>
  <si>
    <t>CONSUMPTION</t>
  </si>
  <si>
    <t>Consumptions</t>
  </si>
  <si>
    <t>Date_Amber</t>
  </si>
  <si>
    <t>Norm_Amber</t>
  </si>
  <si>
    <t>Date_Topaz</t>
  </si>
  <si>
    <t>Norm_Topaz</t>
  </si>
  <si>
    <t>Date_Pearl</t>
  </si>
  <si>
    <t>Norm_Pearl</t>
  </si>
  <si>
    <t>Dynamic Normalization Formulas Summary</t>
  </si>
  <si>
    <t>These formulas create a scrollable, normalized view of discrepancy data.</t>
  </si>
  <si>
    <t>Row 2 always shows 0, and all other values are relative to the baseline (first visible row).</t>
  </si>
  <si>
    <t>K1 controls the scroll position (0-based: 0, 1, 2, 3...)</t>
  </si>
  <si>
    <t>Column</t>
  </si>
  <si>
    <t>Purpose</t>
  </si>
  <si>
    <t>Formula</t>
  </si>
  <si>
    <t>S (Date_Amber)</t>
  </si>
  <si>
    <t>Shows date shifted by scroll position</t>
  </si>
  <si>
    <t>T (Norm_Amber)</t>
  </si>
  <si>
    <t>Normalized discrepancy (baseline = 0)</t>
  </si>
  <si>
    <t>U (Date_Topaz)</t>
  </si>
  <si>
    <t>V (Norm_Topaz)</t>
  </si>
  <si>
    <t>W (Date_Pearl)</t>
  </si>
  <si>
    <t>X (Norm_Pearl)</t>
  </si>
  <si>
    <t>How It Works:</t>
  </si>
  <si>
    <t>1. COUNTA($L$2:$L$200) - Counts actual data rows in the source column</t>
  </si>
  <si>
    <t>2. $K$1+ROW()-1 - Calculates which row of source data to retrieve</t>
  </si>
  <si>
    <t>3. IF(...&gt;COUNTA(...),"",...)  - Returns blank if scrolled past data (prevents #REF! errors)</t>
  </si>
  <si>
    <t>4. INDEX(...,$K$1+ROW()-1) - Gets the value at the calculated row position</t>
  </si>
  <si>
    <t>5. INDEX(...,$K$1+1) - Gets the baseline value (first visible row)</t>
  </si>
  <si>
    <t>6. Subtracting baseline from each value normalizes data so row 2 = 0</t>
  </si>
  <si>
    <t>7. Change K1 value (0, 1, 2, 3...) to scroll through the data</t>
  </si>
  <si>
    <t>Key Benefits:</t>
  </si>
  <si>
    <t>• Dynamic - Works with any data size (up to 200 rows per vessel)</t>
  </si>
  <si>
    <t>• No #REF! errors - Returns blank when scrolling past available data</t>
  </si>
  <si>
    <t>• Normalized - First visible row always = 0 for easy comparison</t>
  </si>
  <si>
    <t>• Scrollable - Change K1 to shift the viewing window</t>
  </si>
  <si>
    <t>IF($K$1+ROW()-1&gt;COUNTA($L$2:$L$200),"",INDEX($L$2:$L$200,$K$1+ROW()-1))</t>
  </si>
  <si>
    <t>IF($K$1+ROW()-1&gt;COUNTA($M$2:$M$200),"",INDEX($M$2:$M$200,$K$1+ROW()-1)-INDEX($M$2:$M$200,$K$1+1))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</si>
</sst>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Amber</a:t>
            </a:r>
            <a:r>
              <a:rPr lang="en-US" baseline="0"/>
              <a:t> </a:t>
            </a:r>
            <a:r>
              <a:rPr lang="en-US"/>
              <a:t>Consumptions-Tank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amber_an!$AL$1</c:f>
              <c:strCache>
                <c:ptCount val="1"/>
                <c:pt idx="0">
                  <c:v>CONSUMPTION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amber_an!$N$2:$N$21</c:f>
              <c:numCache>
                <c:formatCode>m/d/yyyy</c:formatCode>
                <c:ptCount val="20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xVal>
          <c:yVal>
            <c:numRef>
              <c:f>amber_an!$AL$2:$AL$21</c:f>
              <c:numCache>
                <c:formatCode>General</c:formatCode>
                <c:ptCount val="20"/>
                <c:pt idx="0">
                  <c:v>5.91</c:v>
                </c:pt>
                <c:pt idx="1">
                  <c:v>9.879999999999999</c:v>
                </c:pt>
                <c:pt idx="2">
                  <c:v>36.599999999999994</c:v>
                </c:pt>
                <c:pt idx="3">
                  <c:v>26.9</c:v>
                </c:pt>
                <c:pt idx="4">
                  <c:v>19.8</c:v>
                </c:pt>
                <c:pt idx="5">
                  <c:v>21</c:v>
                </c:pt>
                <c:pt idx="6">
                  <c:v>4.7299999999999995</c:v>
                </c:pt>
                <c:pt idx="7">
                  <c:v>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B6-4FEB-B0C4-04F9B7CE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8863"/>
        <c:axId val="103225663"/>
      </c:scatterChart>
      <c:scatterChart>
        <c:scatterStyle val="smoothMarker"/>
        <c:varyColors val="0"/>
        <c:ser>
          <c:idx val="0"/>
          <c:order val="0"/>
          <c:tx>
            <c:strRef>
              <c:f>amber_an!$AB$1</c:f>
              <c:strCache>
                <c:ptCount val="1"/>
                <c:pt idx="0">
                  <c:v>Press_TK1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amber_an!$N$2:$N$21</c:f>
              <c:numCache>
                <c:formatCode>m/d/yyyy</c:formatCode>
                <c:ptCount val="20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xVal>
          <c:yVal>
            <c:numRef>
              <c:f>amber_an!$AB$2:$AB$21</c:f>
              <c:numCache>
                <c:formatCode>General</c:formatCode>
                <c:ptCount val="20"/>
                <c:pt idx="0">
                  <c:v>0.92900000000000005</c:v>
                </c:pt>
                <c:pt idx="1">
                  <c:v>0.93100000000000005</c:v>
                </c:pt>
                <c:pt idx="2">
                  <c:v>0.76300000000000001</c:v>
                </c:pt>
                <c:pt idx="3">
                  <c:v>0.85499999999999998</c:v>
                </c:pt>
                <c:pt idx="4">
                  <c:v>0.96299999999999997</c:v>
                </c:pt>
                <c:pt idx="5">
                  <c:v>1.071</c:v>
                </c:pt>
                <c:pt idx="6">
                  <c:v>1.038</c:v>
                </c:pt>
                <c:pt idx="7">
                  <c:v>0.97899999999999998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6-4FEB-B0C4-04F9B7CEB015}"/>
            </c:ext>
          </c:extLst>
        </c:ser>
        <c:ser>
          <c:idx val="1"/>
          <c:order val="1"/>
          <c:tx>
            <c:strRef>
              <c:f>amber_an!$AF$1</c:f>
              <c:strCache>
                <c:ptCount val="1"/>
                <c:pt idx="0">
                  <c:v>Press_TK2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amber_an!$N$2:$N$21</c:f>
              <c:numCache>
                <c:formatCode>m/d/yyyy</c:formatCode>
                <c:ptCount val="20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</c:numCache>
            </c:numRef>
          </c:xVal>
          <c:yVal>
            <c:numRef>
              <c:f>amber_an!$AF$2:$AF$21</c:f>
              <c:numCache>
                <c:formatCode>General</c:formatCode>
                <c:ptCount val="20"/>
                <c:pt idx="0">
                  <c:v>0.93</c:v>
                </c:pt>
                <c:pt idx="1">
                  <c:v>0.93100000000000005</c:v>
                </c:pt>
                <c:pt idx="2">
                  <c:v>0.76300000000000001</c:v>
                </c:pt>
                <c:pt idx="3">
                  <c:v>0.85599999999999998</c:v>
                </c:pt>
                <c:pt idx="4">
                  <c:v>0.96299999999999997</c:v>
                </c:pt>
                <c:pt idx="5">
                  <c:v>1.071</c:v>
                </c:pt>
                <c:pt idx="6">
                  <c:v>1.038</c:v>
                </c:pt>
                <c:pt idx="7">
                  <c:v>0.97899999999999998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B6-4FEB-B0C4-04F9B7CE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9343"/>
        <c:axId val="103205503"/>
      </c:scatterChart>
      <c:valAx>
        <c:axId val="10320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5663"/>
        <c:crosses val="autoZero"/>
        <c:crossBetween val="midCat"/>
      </c:valAx>
      <c:valAx>
        <c:axId val="10322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Consumptions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8863"/>
        <c:crosses val="autoZero"/>
        <c:crossBetween val="midCat"/>
      </c:valAx>
      <c:valAx>
        <c:axId val="10320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Tank pressure 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9343"/>
        <c:crosses val="max"/>
        <c:crossBetween val="midCat"/>
      </c:valAx>
      <c:valAx>
        <c:axId val="1032093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20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0AD47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Topaz-</a:t>
            </a:r>
            <a:r>
              <a:rPr lang="en-US" baseline="0"/>
              <a:t> </a:t>
            </a:r>
            <a:r>
              <a:rPr lang="en-US"/>
              <a:t>Consumptions-Tank Pressure</a:t>
            </a:r>
          </a:p>
        </c:rich>
      </c:tx>
      <c:layout>
        <c:manualLayout>
          <c:xMode val="edge"/>
          <c:yMode val="edge"/>
          <c:x val="0.3392343301132727"/>
          <c:y val="1.9047619047619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topaz_an!$AL$1</c:f>
              <c:strCache>
                <c:ptCount val="1"/>
                <c:pt idx="0">
                  <c:v>CONSUMPTION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topaz_an!$N$2:$N$21</c:f>
              <c:numCache>
                <c:formatCode>m/d/yyyy</c:formatCode>
                <c:ptCount val="20"/>
                <c:pt idx="0">
                  <c:v>46151</c:v>
                </c:pt>
                <c:pt idx="1">
                  <c:v>46152</c:v>
                </c:pt>
                <c:pt idx="2">
                  <c:v>46153</c:v>
                </c:pt>
                <c:pt idx="3">
                  <c:v>46154</c:v>
                </c:pt>
                <c:pt idx="4">
                  <c:v>46155</c:v>
                </c:pt>
                <c:pt idx="5">
                  <c:v>46156</c:v>
                </c:pt>
                <c:pt idx="6">
                  <c:v>46157</c:v>
                </c:pt>
                <c:pt idx="7">
                  <c:v>46158</c:v>
                </c:pt>
              </c:numCache>
            </c:numRef>
          </c:xVal>
          <c:yVal>
            <c:numRef>
              <c:f>topaz_an!$AL$2:$AL$21</c:f>
              <c:numCache>
                <c:formatCode>General</c:formatCode>
                <c:ptCount val="20"/>
                <c:pt idx="0">
                  <c:v>5.0999999999999996</c:v>
                </c:pt>
                <c:pt idx="1">
                  <c:v>4.4000000000000004</c:v>
                </c:pt>
                <c:pt idx="2">
                  <c:v>4.1999999999999993</c:v>
                </c:pt>
                <c:pt idx="3">
                  <c:v>5.0999999999999996</c:v>
                </c:pt>
                <c:pt idx="4">
                  <c:v>4.2</c:v>
                </c:pt>
                <c:pt idx="5">
                  <c:v>4.3999999999999995</c:v>
                </c:pt>
                <c:pt idx="6">
                  <c:v>6.1</c:v>
                </c:pt>
                <c:pt idx="7">
                  <c:v>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39-4AFF-95D0-98767EB37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8863"/>
        <c:axId val="103225663"/>
      </c:scatterChart>
      <c:scatterChart>
        <c:scatterStyle val="smoothMarker"/>
        <c:varyColors val="0"/>
        <c:ser>
          <c:idx val="0"/>
          <c:order val="0"/>
          <c:tx>
            <c:strRef>
              <c:f>topaz_an!$AB$1</c:f>
              <c:strCache>
                <c:ptCount val="1"/>
                <c:pt idx="0">
                  <c:v>Press_TK1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topaz_an!$N$2:$N$21</c:f>
              <c:numCache>
                <c:formatCode>m/d/yyyy</c:formatCode>
                <c:ptCount val="20"/>
                <c:pt idx="0">
                  <c:v>46151</c:v>
                </c:pt>
                <c:pt idx="1">
                  <c:v>46152</c:v>
                </c:pt>
                <c:pt idx="2">
                  <c:v>46153</c:v>
                </c:pt>
                <c:pt idx="3">
                  <c:v>46154</c:v>
                </c:pt>
                <c:pt idx="4">
                  <c:v>46155</c:v>
                </c:pt>
                <c:pt idx="5">
                  <c:v>46156</c:v>
                </c:pt>
                <c:pt idx="6">
                  <c:v>46157</c:v>
                </c:pt>
                <c:pt idx="7">
                  <c:v>46158</c:v>
                </c:pt>
              </c:numCache>
            </c:numRef>
          </c:xVal>
          <c:yVal>
            <c:numRef>
              <c:f>topaz_an!$AB$2:$AB$21</c:f>
              <c:numCache>
                <c:formatCode>General</c:formatCode>
                <c:ptCount val="20"/>
                <c:pt idx="0">
                  <c:v>0.93500000000000005</c:v>
                </c:pt>
                <c:pt idx="1">
                  <c:v>0.93700000000000006</c:v>
                </c:pt>
                <c:pt idx="2">
                  <c:v>0.93300000000000005</c:v>
                </c:pt>
                <c:pt idx="3">
                  <c:v>0.92100000000000004</c:v>
                </c:pt>
                <c:pt idx="4">
                  <c:v>0.92100000000000004</c:v>
                </c:pt>
                <c:pt idx="5">
                  <c:v>0.90600000000000003</c:v>
                </c:pt>
                <c:pt idx="6">
                  <c:v>0.87</c:v>
                </c:pt>
                <c:pt idx="7">
                  <c:v>0.84499999999999997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39-4AFF-95D0-98767EB37018}"/>
            </c:ext>
          </c:extLst>
        </c:ser>
        <c:ser>
          <c:idx val="1"/>
          <c:order val="1"/>
          <c:tx>
            <c:strRef>
              <c:f>topaz_an!$AF$1</c:f>
              <c:strCache>
                <c:ptCount val="1"/>
                <c:pt idx="0">
                  <c:v>Press_TK2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topaz_an!$N$2:$N$21</c:f>
              <c:numCache>
                <c:formatCode>m/d/yyyy</c:formatCode>
                <c:ptCount val="20"/>
                <c:pt idx="0">
                  <c:v>46151</c:v>
                </c:pt>
                <c:pt idx="1">
                  <c:v>46152</c:v>
                </c:pt>
                <c:pt idx="2">
                  <c:v>46153</c:v>
                </c:pt>
                <c:pt idx="3">
                  <c:v>46154</c:v>
                </c:pt>
                <c:pt idx="4">
                  <c:v>46155</c:v>
                </c:pt>
                <c:pt idx="5">
                  <c:v>46156</c:v>
                </c:pt>
                <c:pt idx="6">
                  <c:v>46157</c:v>
                </c:pt>
                <c:pt idx="7">
                  <c:v>46158</c:v>
                </c:pt>
              </c:numCache>
            </c:numRef>
          </c:xVal>
          <c:yVal>
            <c:numRef>
              <c:f>topaz_an!$AF$2:$AF$21</c:f>
              <c:numCache>
                <c:formatCode>General</c:formatCode>
                <c:ptCount val="20"/>
                <c:pt idx="0">
                  <c:v>0.93500000000000005</c:v>
                </c:pt>
                <c:pt idx="1">
                  <c:v>0.93600000000000005</c:v>
                </c:pt>
                <c:pt idx="2">
                  <c:v>0.93200000000000005</c:v>
                </c:pt>
                <c:pt idx="3">
                  <c:v>0.91900000000000004</c:v>
                </c:pt>
                <c:pt idx="4">
                  <c:v>0.92</c:v>
                </c:pt>
                <c:pt idx="5">
                  <c:v>0.90500000000000003</c:v>
                </c:pt>
                <c:pt idx="6">
                  <c:v>0.86799999999999999</c:v>
                </c:pt>
                <c:pt idx="7">
                  <c:v>0.84399999999999997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39-4AFF-95D0-98767EB37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9343"/>
        <c:axId val="103205503"/>
      </c:scatterChart>
      <c:valAx>
        <c:axId val="10320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5663"/>
        <c:crosses val="autoZero"/>
        <c:crossBetween val="midCat"/>
      </c:valAx>
      <c:valAx>
        <c:axId val="10322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Consumptions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8863"/>
        <c:crosses val="autoZero"/>
        <c:crossBetween val="midCat"/>
      </c:valAx>
      <c:valAx>
        <c:axId val="10320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Tank pressure 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9343"/>
        <c:crosses val="max"/>
        <c:crossBetween val="midCat"/>
      </c:valAx>
      <c:valAx>
        <c:axId val="1032093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20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Pearl-Consumptions-Tank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pearl_an!$AL$1</c:f>
              <c:strCache>
                <c:ptCount val="1"/>
                <c:pt idx="0">
                  <c:v>CONSUMPTION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pearl_an!$N$2:$N$21</c:f>
              <c:numCache>
                <c:formatCode>m/d/yyyy</c:formatCode>
                <c:ptCount val="2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</c:numCache>
            </c:numRef>
          </c:xVal>
          <c:yVal>
            <c:numRef>
              <c:f>pearl_an!$AL$2:$AL$21</c:f>
              <c:numCache>
                <c:formatCode>General</c:formatCode>
                <c:ptCount val="20"/>
                <c:pt idx="0">
                  <c:v>13.5</c:v>
                </c:pt>
                <c:pt idx="1">
                  <c:v>9.8999999999999986</c:v>
                </c:pt>
                <c:pt idx="2">
                  <c:v>5.2</c:v>
                </c:pt>
                <c:pt idx="3">
                  <c:v>6.4</c:v>
                </c:pt>
                <c:pt idx="4">
                  <c:v>5.6</c:v>
                </c:pt>
                <c:pt idx="5">
                  <c:v>5.2</c:v>
                </c:pt>
                <c:pt idx="6">
                  <c:v>4.7</c:v>
                </c:pt>
                <c:pt idx="7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B-44A3-9D2A-0D6F155A6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8863"/>
        <c:axId val="103225663"/>
      </c:scatterChart>
      <c:scatterChart>
        <c:scatterStyle val="smoothMarker"/>
        <c:varyColors val="0"/>
        <c:ser>
          <c:idx val="0"/>
          <c:order val="0"/>
          <c:tx>
            <c:strRef>
              <c:f>pearl_an!$AB$1</c:f>
              <c:strCache>
                <c:ptCount val="1"/>
                <c:pt idx="0">
                  <c:v>Press_TK1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pearl_an!$N$2:$N$21</c:f>
              <c:numCache>
                <c:formatCode>m/d/yyyy</c:formatCode>
                <c:ptCount val="2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</c:numCache>
            </c:numRef>
          </c:xVal>
          <c:yVal>
            <c:numRef>
              <c:f>pearl_an!$AB$2:$AB$21</c:f>
              <c:numCache>
                <c:formatCode>General</c:formatCode>
                <c:ptCount val="20"/>
                <c:pt idx="0">
                  <c:v>0.52</c:v>
                </c:pt>
                <c:pt idx="1">
                  <c:v>0.52</c:v>
                </c:pt>
                <c:pt idx="2">
                  <c:v>0.88</c:v>
                </c:pt>
                <c:pt idx="3">
                  <c:v>1.01</c:v>
                </c:pt>
                <c:pt idx="4">
                  <c:v>0.84</c:v>
                </c:pt>
                <c:pt idx="5">
                  <c:v>0.71</c:v>
                </c:pt>
                <c:pt idx="6">
                  <c:v>0.7</c:v>
                </c:pt>
                <c:pt idx="7">
                  <c:v>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0B-44A3-9D2A-0D6F155A698A}"/>
            </c:ext>
          </c:extLst>
        </c:ser>
        <c:ser>
          <c:idx val="1"/>
          <c:order val="1"/>
          <c:tx>
            <c:strRef>
              <c:f>pearl_an!$AF$1</c:f>
              <c:strCache>
                <c:ptCount val="1"/>
                <c:pt idx="0">
                  <c:v>Press_TK2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pearl_an!$N$2:$N$21</c:f>
              <c:numCache>
                <c:formatCode>m/d/yyyy</c:formatCode>
                <c:ptCount val="2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</c:numCache>
            </c:numRef>
          </c:xVal>
          <c:yVal>
            <c:numRef>
              <c:f>pearl_an!$AF$2:$AF$21</c:f>
              <c:numCache>
                <c:formatCode>General</c:formatCode>
                <c:ptCount val="20"/>
                <c:pt idx="0">
                  <c:v>0.52</c:v>
                </c:pt>
                <c:pt idx="1">
                  <c:v>0.52</c:v>
                </c:pt>
                <c:pt idx="2">
                  <c:v>0.88</c:v>
                </c:pt>
                <c:pt idx="3">
                  <c:v>1.01</c:v>
                </c:pt>
                <c:pt idx="4">
                  <c:v>0.84</c:v>
                </c:pt>
                <c:pt idx="5">
                  <c:v>0.72</c:v>
                </c:pt>
                <c:pt idx="6">
                  <c:v>0.7</c:v>
                </c:pt>
                <c:pt idx="7">
                  <c:v>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0B-44A3-9D2A-0D6F155A6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9343"/>
        <c:axId val="103205503"/>
      </c:scatterChart>
      <c:valAx>
        <c:axId val="10320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5663"/>
        <c:crosses val="autoZero"/>
        <c:crossBetween val="midCat"/>
      </c:valAx>
      <c:valAx>
        <c:axId val="10322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Consumptions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8863"/>
        <c:crosses val="autoZero"/>
        <c:crossBetween val="midCat"/>
      </c:valAx>
      <c:valAx>
        <c:axId val="10320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Tank pressure 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9343"/>
        <c:crosses val="max"/>
        <c:crossBetween val="midCat"/>
      </c:valAx>
      <c:valAx>
        <c:axId val="1032093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20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pearl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normalise!$P$2:$P$10</c:f>
              <c:numCache>
                <c:formatCode>m/d/yyyy</c:formatCode>
                <c:ptCount val="9"/>
                <c:pt idx="0">
                  <c:v>46127</c:v>
                </c:pt>
                <c:pt idx="1">
                  <c:v>46128</c:v>
                </c:pt>
                <c:pt idx="2">
                  <c:v>46129</c:v>
                </c:pt>
                <c:pt idx="3">
                  <c:v>46130</c:v>
                </c:pt>
                <c:pt idx="4">
                  <c:v>46131</c:v>
                </c:pt>
                <c:pt idx="5">
                  <c:v>46132</c:v>
                </c:pt>
                <c:pt idx="6">
                  <c:v>46133</c:v>
                </c:pt>
                <c:pt idx="7">
                  <c:v>46134</c:v>
                </c:pt>
                <c:pt idx="8">
                  <c:v>46135</c:v>
                </c:pt>
              </c:numCache>
            </c:numRef>
          </c:xVal>
          <c:yVal>
            <c:numRef>
              <c:f>normalise!$Q$2:$Q$10</c:f>
              <c:numCache>
                <c:formatCode>General</c:formatCode>
                <c:ptCount val="9"/>
                <c:pt idx="0">
                  <c:v>42.2</c:v>
                </c:pt>
                <c:pt idx="1">
                  <c:v>42.6</c:v>
                </c:pt>
                <c:pt idx="2">
                  <c:v>40.9</c:v>
                </c:pt>
                <c:pt idx="3">
                  <c:v>40.4</c:v>
                </c:pt>
                <c:pt idx="4">
                  <c:v>38.299999999999997</c:v>
                </c:pt>
                <c:pt idx="5">
                  <c:v>42.9</c:v>
                </c:pt>
                <c:pt idx="6">
                  <c:v>39.4</c:v>
                </c:pt>
                <c:pt idx="7">
                  <c:v>35.299999999999997</c:v>
                </c:pt>
                <c:pt idx="8">
                  <c:v>36.5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78-4C01-988D-B6EC8E627180}"/>
            </c:ext>
          </c:extLst>
        </c:ser>
        <c:ser>
          <c:idx val="1"/>
          <c:order val="1"/>
          <c:tx>
            <c:v>topaz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normalise!$N$2:$N$10</c:f>
              <c:numCache>
                <c:formatCode>m/d/yyyy</c:formatCode>
                <c:ptCount val="9"/>
                <c:pt idx="0">
                  <c:v>46127</c:v>
                </c:pt>
                <c:pt idx="1">
                  <c:v>46128</c:v>
                </c:pt>
                <c:pt idx="2">
                  <c:v>46129</c:v>
                </c:pt>
                <c:pt idx="3">
                  <c:v>46130</c:v>
                </c:pt>
                <c:pt idx="4">
                  <c:v>46131</c:v>
                </c:pt>
                <c:pt idx="5">
                  <c:v>46132</c:v>
                </c:pt>
                <c:pt idx="6">
                  <c:v>46133</c:v>
                </c:pt>
                <c:pt idx="7">
                  <c:v>46134</c:v>
                </c:pt>
                <c:pt idx="8">
                  <c:v>46135</c:v>
                </c:pt>
              </c:numCache>
            </c:numRef>
          </c:xVal>
          <c:yVal>
            <c:numRef>
              <c:f>normalise!$O$2:$O$10</c:f>
              <c:numCache>
                <c:formatCode>General</c:formatCode>
                <c:ptCount val="9"/>
                <c:pt idx="0">
                  <c:v>-10.3</c:v>
                </c:pt>
                <c:pt idx="1">
                  <c:v>-12.3</c:v>
                </c:pt>
                <c:pt idx="2">
                  <c:v>-12</c:v>
                </c:pt>
                <c:pt idx="3">
                  <c:v>-11.4</c:v>
                </c:pt>
                <c:pt idx="4">
                  <c:v>-13.6</c:v>
                </c:pt>
                <c:pt idx="5">
                  <c:v>-14.1</c:v>
                </c:pt>
                <c:pt idx="6">
                  <c:v>-20.3</c:v>
                </c:pt>
                <c:pt idx="7">
                  <c:v>-22.4</c:v>
                </c:pt>
                <c:pt idx="8">
                  <c:v>-21.8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78-4C01-988D-B6EC8E627180}"/>
            </c:ext>
          </c:extLst>
        </c:ser>
        <c:ser>
          <c:idx val="0"/>
          <c:order val="2"/>
          <c:tx>
            <c:v>amber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normalise!$L$2:$L$10</c:f>
              <c:numCache>
                <c:formatCode>m/d/yyyy</c:formatCode>
                <c:ptCount val="9"/>
                <c:pt idx="0">
                  <c:v>46127</c:v>
                </c:pt>
                <c:pt idx="1">
                  <c:v>46128</c:v>
                </c:pt>
                <c:pt idx="2">
                  <c:v>46129</c:v>
                </c:pt>
                <c:pt idx="3">
                  <c:v>46130</c:v>
                </c:pt>
                <c:pt idx="4">
                  <c:v>46131</c:v>
                </c:pt>
                <c:pt idx="5">
                  <c:v>46132</c:v>
                </c:pt>
                <c:pt idx="6">
                  <c:v>46133</c:v>
                </c:pt>
                <c:pt idx="7">
                  <c:v>46134</c:v>
                </c:pt>
                <c:pt idx="8">
                  <c:v>46135</c:v>
                </c:pt>
              </c:numCache>
            </c:numRef>
          </c:xVal>
          <c:yVal>
            <c:numRef>
              <c:f>normalise!$M$2:$M$10</c:f>
              <c:numCache>
                <c:formatCode>General</c:formatCode>
                <c:ptCount val="9"/>
                <c:pt idx="0">
                  <c:v>-19.3</c:v>
                </c:pt>
                <c:pt idx="1">
                  <c:v>-17.7</c:v>
                </c:pt>
                <c:pt idx="2">
                  <c:v>-20.9</c:v>
                </c:pt>
                <c:pt idx="3">
                  <c:v>-22.8</c:v>
                </c:pt>
                <c:pt idx="4">
                  <c:v>-18.5</c:v>
                </c:pt>
                <c:pt idx="5">
                  <c:v>1.9</c:v>
                </c:pt>
                <c:pt idx="6">
                  <c:v>3</c:v>
                </c:pt>
                <c:pt idx="7">
                  <c:v>2.4</c:v>
                </c:pt>
                <c:pt idx="8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78-4C01-988D-B6EC8E627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5903"/>
        <c:axId val="43646383"/>
      </c:scatterChart>
      <c:valAx>
        <c:axId val="43645903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6383"/>
        <c:crosses val="autoZero"/>
        <c:crossBetween val="midCat"/>
      </c:valAx>
      <c:valAx>
        <c:axId val="4364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Discrepancy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5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normalised graphs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amber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normalise!$S$2:$S$4</c:f>
              <c:numCache>
                <c:formatCode>m/d/yyyy</c:formatCode>
                <c:ptCount val="3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</c:numCache>
            </c:numRef>
          </c:xVal>
          <c:yVal>
            <c:numRef>
              <c:f>normalise!$T$2:$T$4</c:f>
              <c:numCache>
                <c:formatCode>General</c:formatCode>
                <c:ptCount val="3"/>
                <c:pt idx="0">
                  <c:v>0</c:v>
                </c:pt>
                <c:pt idx="1">
                  <c:v>0.59999999999999964</c:v>
                </c:pt>
                <c:pt idx="2">
                  <c:v>-0.60000000000000142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3F-43A5-B8FB-87082319FECC}"/>
            </c:ext>
          </c:extLst>
        </c:ser>
        <c:ser>
          <c:idx val="1"/>
          <c:order val="1"/>
          <c:tx>
            <c:v>topaz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normalise!$U$2:$U$4</c:f>
              <c:numCache>
                <c:formatCode>m/d/yyyy</c:formatCode>
                <c:ptCount val="3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</c:numCache>
            </c:numRef>
          </c:xVal>
          <c:yVal>
            <c:numRef>
              <c:f>normalise!$V$2:$V$4</c:f>
              <c:numCache>
                <c:formatCode>General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3F-43A5-B8FB-87082319FECC}"/>
            </c:ext>
          </c:extLst>
        </c:ser>
        <c:ser>
          <c:idx val="2"/>
          <c:order val="2"/>
          <c:tx>
            <c:v>pearl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normalise!$W$2:$W$4</c:f>
              <c:numCache>
                <c:formatCode>m/d/yyyy</c:formatCode>
                <c:ptCount val="3"/>
                <c:pt idx="0">
                  <c:v>46141</c:v>
                </c:pt>
                <c:pt idx="1">
                  <c:v>46142</c:v>
                </c:pt>
                <c:pt idx="2">
                  <c:v>46143</c:v>
                </c:pt>
              </c:numCache>
            </c:numRef>
          </c:xVal>
          <c:yVal>
            <c:numRef>
              <c:f>normalise!$X$2:$X$4</c:f>
              <c:numCache>
                <c:formatCode>General</c:formatCode>
                <c:ptCount val="3"/>
                <c:pt idx="0">
                  <c:v>0</c:v>
                </c:pt>
                <c:pt idx="1">
                  <c:v>-2</c:v>
                </c:pt>
                <c:pt idx="2">
                  <c:v>0.60000000000000142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3F-43A5-B8FB-87082319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92287"/>
        <c:axId val="1155891327"/>
      </c:scatterChart>
      <c:valAx>
        <c:axId val="115589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91327"/>
        <c:crosses val="autoZero"/>
        <c:crossBetween val="midCat"/>
      </c:valAx>
      <c:valAx>
        <c:axId val="115589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Dicrepancy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9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pearl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'normalise refined'!$P$2:$P$4</c:f>
              <c:numCache>
                <c:formatCode>m/d/yyyy</c:formatCode>
                <c:ptCount val="3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xVal>
          <c:yVal>
            <c:numRef>
              <c:f>'normalise refined'!$Q$2:$Q$4</c:f>
              <c:numCache>
                <c:formatCode>General</c:formatCode>
                <c:ptCount val="3"/>
                <c:pt idx="0">
                  <c:v>0</c:v>
                </c:pt>
                <c:pt idx="1">
                  <c:v>25.6</c:v>
                </c:pt>
                <c:pt idx="2">
                  <c:v>28.6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E-4415-86AE-0A334EA67214}"/>
            </c:ext>
          </c:extLst>
        </c:ser>
        <c:ser>
          <c:idx val="1"/>
          <c:order val="1"/>
          <c:tx>
            <c:v>topaz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'normalise refined'!$N$2:$N$4</c:f>
              <c:numCache>
                <c:formatCode>m/d/yyyy</c:formatCode>
                <c:ptCount val="3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xVal>
          <c:yVal>
            <c:numRef>
              <c:f>'normalise refined'!$O$2:$O$4</c:f>
              <c:numCache>
                <c:formatCode>General</c:formatCode>
                <c:ptCount val="3"/>
                <c:pt idx="0">
                  <c:v>0</c:v>
                </c:pt>
                <c:pt idx="1">
                  <c:v>14.5</c:v>
                </c:pt>
                <c:pt idx="2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7E-4415-86AE-0A334EA67214}"/>
            </c:ext>
          </c:extLst>
        </c:ser>
        <c:ser>
          <c:idx val="0"/>
          <c:order val="2"/>
          <c:tx>
            <c:v>amber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'normalise refined'!$L$2:$L$4</c:f>
              <c:numCache>
                <c:formatCode>m/d/yyyy</c:formatCode>
                <c:ptCount val="3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xVal>
          <c:yVal>
            <c:numRef>
              <c:f>'normalise refined'!$M$2:$M$4</c:f>
              <c:numCache>
                <c:formatCode>General</c:formatCode>
                <c:ptCount val="3"/>
                <c:pt idx="0">
                  <c:v>0</c:v>
                </c:pt>
                <c:pt idx="1">
                  <c:v>9.1999999999999993</c:v>
                </c:pt>
                <c:pt idx="2">
                  <c:v>34.799999999999997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7E-4415-86AE-0A334EA67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5903"/>
        <c:axId val="43646383"/>
      </c:scatterChart>
      <c:valAx>
        <c:axId val="43645903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6383"/>
        <c:crosses val="autoZero"/>
        <c:crossBetween val="midCat"/>
      </c:valAx>
      <c:valAx>
        <c:axId val="4364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Discrepancy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5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normalised graphs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amber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'normalise refined'!$S$2:$S$4</c:f>
              <c:numCache>
                <c:formatCode>m/d/yyyy</c:formatCode>
                <c:ptCount val="3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xVal>
          <c:yVal>
            <c:numRef>
              <c:f>'normalise refined'!$T$2:$T$4</c:f>
              <c:numCache>
                <c:formatCode>General</c:formatCode>
                <c:ptCount val="3"/>
                <c:pt idx="0">
                  <c:v>0</c:v>
                </c:pt>
                <c:pt idx="1">
                  <c:v>9.1999999999999993</c:v>
                </c:pt>
                <c:pt idx="2">
                  <c:v>34.799999999999997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D4-45B7-ABFE-86B56F7FBDEE}"/>
            </c:ext>
          </c:extLst>
        </c:ser>
        <c:ser>
          <c:idx val="1"/>
          <c:order val="1"/>
          <c:tx>
            <c:v>topaz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'normalise refined'!$U$2:$U$4</c:f>
              <c:numCache>
                <c:formatCode>m/d/yyyy</c:formatCode>
                <c:ptCount val="3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xVal>
          <c:yVal>
            <c:numRef>
              <c:f>'normalise refined'!$V$2:$V$4</c:f>
              <c:numCache>
                <c:formatCode>General</c:formatCode>
                <c:ptCount val="3"/>
                <c:pt idx="0">
                  <c:v>0</c:v>
                </c:pt>
                <c:pt idx="1">
                  <c:v>14.5</c:v>
                </c:pt>
                <c:pt idx="2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D4-45B7-ABFE-86B56F7FBDEE}"/>
            </c:ext>
          </c:extLst>
        </c:ser>
        <c:ser>
          <c:idx val="2"/>
          <c:order val="2"/>
          <c:tx>
            <c:v>pearl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'normalise refined'!$W$2:$W$4</c:f>
              <c:numCache>
                <c:formatCode>m/d/yyyy</c:formatCode>
                <c:ptCount val="3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xVal>
          <c:yVal>
            <c:numRef>
              <c:f>'normalise refined'!$X$2:$X$4</c:f>
              <c:numCache>
                <c:formatCode>General</c:formatCode>
                <c:ptCount val="3"/>
                <c:pt idx="0">
                  <c:v>0</c:v>
                </c:pt>
                <c:pt idx="1">
                  <c:v>25.6</c:v>
                </c:pt>
                <c:pt idx="2">
                  <c:v>28.6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D4-45B7-ABFE-86B56F7FB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892287"/>
        <c:axId val="1155891327"/>
      </c:scatterChart>
      <c:valAx>
        <c:axId val="115589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91327"/>
        <c:crosses val="autoZero"/>
        <c:crossBetween val="midCat"/>
      </c:valAx>
      <c:valAx>
        <c:axId val="115589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Dicrepancy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9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31" fmlaLink="$M$1" horiz="1" max="12" page="0" val="12"/>
</file>

<file path=xl/ctrlProps/ctrlProp2.xml><?xml version="1.0" encoding="utf-8"?>
<formControlPr xmlns="http://schemas.microsoft.com/office/spreadsheetml/2009/9/main" objectType="Scroll" dx="31" fmlaLink="$M$1" horiz="1" max="38" page="0" val="38"/>
</file>

<file path=xl/ctrlProps/ctrlProp3.xml><?xml version="1.0" encoding="utf-8"?>
<formControlPr xmlns="http://schemas.microsoft.com/office/spreadsheetml/2009/9/main" objectType="Scroll" dx="31" fmlaLink="$M$1" horiz="1" max="97" page="0" val="0"/>
</file>

<file path=xl/ctrlProps/ctrlProp4.xml><?xml version="1.0" encoding="utf-8"?>
<formControlPr xmlns="http://schemas.microsoft.com/office/spreadsheetml/2009/9/main" objectType="Scroll" dx="31" fmlaLink="$K$1" horiz="1" max="15" page="0" val="14"/>
</file>

<file path=xl/ctrlProps/ctrlProp5.xml><?xml version="1.0" encoding="utf-8"?>
<formControlPr xmlns="http://schemas.microsoft.com/office/spreadsheetml/2009/9/main" objectType="Scroll" dx="31" fmlaLink="$K$1" horiz="1" max="22" page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603250</xdr:colOff>
          <xdr:row>20</xdr:row>
          <xdr:rowOff>6350</xdr:rowOff>
        </xdr:from>
        <xdr:to>
          <xdr:col>12</xdr:col>
          <xdr:colOff>12700</xdr:colOff>
          <xdr:row>21</xdr:row>
          <xdr:rowOff>171450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0</xdr:colOff>
      <xdr:row>2</xdr:row>
      <xdr:rowOff>0</xdr:rowOff>
    </xdr:from>
    <xdr:to>
      <xdr:col>12</xdr:col>
      <xdr:colOff>12700</xdr:colOff>
      <xdr:row>20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965837-BCC7-4733-9EAD-3AC9CC415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603250</xdr:colOff>
          <xdr:row>20</xdr:row>
          <xdr:rowOff>6350</xdr:rowOff>
        </xdr:from>
        <xdr:to>
          <xdr:col>12</xdr:col>
          <xdr:colOff>12700</xdr:colOff>
          <xdr:row>21</xdr:row>
          <xdr:rowOff>171450</xdr:rowOff>
        </xdr:to>
        <xdr:sp macro="" textlink="">
          <xdr:nvSpPr>
            <xdr:cNvPr id="8193" name="Scroll Ba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0</xdr:colOff>
      <xdr:row>2</xdr:row>
      <xdr:rowOff>0</xdr:rowOff>
    </xdr:from>
    <xdr:to>
      <xdr:col>12</xdr:col>
      <xdr:colOff>12700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F1057-1FE2-4460-9456-B1C3B0A05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603250</xdr:colOff>
          <xdr:row>20</xdr:row>
          <xdr:rowOff>6350</xdr:rowOff>
        </xdr:from>
        <xdr:to>
          <xdr:col>12</xdr:col>
          <xdr:colOff>12700</xdr:colOff>
          <xdr:row>21</xdr:row>
          <xdr:rowOff>171450</xdr:rowOff>
        </xdr:to>
        <xdr:sp macro="" textlink="">
          <xdr:nvSpPr>
            <xdr:cNvPr id="9217" name="Scroll Ba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0</xdr:colOff>
      <xdr:row>2</xdr:row>
      <xdr:rowOff>0</xdr:rowOff>
    </xdr:from>
    <xdr:to>
      <xdr:col>12</xdr:col>
      <xdr:colOff>12700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9C0C6-7E5F-4F08-AE14-FAC8691CC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590550</xdr:colOff>
          <xdr:row>22</xdr:row>
          <xdr:rowOff>25400</xdr:rowOff>
        </xdr:from>
        <xdr:to>
          <xdr:col>26</xdr:col>
          <xdr:colOff>412750</xdr:colOff>
          <xdr:row>24</xdr:row>
          <xdr:rowOff>25400</xdr:rowOff>
        </xdr:to>
        <xdr:sp macro="" textlink="">
          <xdr:nvSpPr>
            <xdr:cNvPr id="12289" name="Scroll Ba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6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18</xdr:col>
      <xdr:colOff>3174</xdr:colOff>
      <xdr:row>4</xdr:row>
      <xdr:rowOff>19050</xdr:rowOff>
    </xdr:from>
    <xdr:to>
      <xdr:col>26</xdr:col>
      <xdr:colOff>419100</xdr:colOff>
      <xdr:row>22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1F66F3-1504-DF24-4DA4-6F660895D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473074</xdr:colOff>
      <xdr:row>4</xdr:row>
      <xdr:rowOff>6350</xdr:rowOff>
    </xdr:from>
    <xdr:to>
      <xdr:col>35</xdr:col>
      <xdr:colOff>495299</xdr:colOff>
      <xdr:row>22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0C80D1-A4BC-0B57-2FE2-406E0C02D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26</xdr:row>
      <xdr:rowOff>0</xdr:rowOff>
    </xdr:from>
    <xdr:to>
      <xdr:col>21</xdr:col>
      <xdr:colOff>571794</xdr:colOff>
      <xdr:row>43</xdr:row>
      <xdr:rowOff>161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7BDA19-3627-41E0-8311-9C0448379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5600" y="4787900"/>
          <a:ext cx="5721644" cy="3130711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43</xdr:row>
      <xdr:rowOff>12700</xdr:rowOff>
    </xdr:from>
    <xdr:to>
      <xdr:col>21</xdr:col>
      <xdr:colOff>324130</xdr:colOff>
      <xdr:row>54</xdr:row>
      <xdr:rowOff>146161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8F6D58-E9AC-4DA2-849D-F51B12B2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94650" y="7931150"/>
          <a:ext cx="5454930" cy="2159111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</xdr:colOff>
      <xdr:row>54</xdr:row>
      <xdr:rowOff>158750</xdr:rowOff>
    </xdr:from>
    <xdr:to>
      <xdr:col>21</xdr:col>
      <xdr:colOff>355600</xdr:colOff>
      <xdr:row>60</xdr:row>
      <xdr:rowOff>146106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2B8128C-448F-4CAF-A352-6CA04F4F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0" y="10102850"/>
          <a:ext cx="5480050" cy="10922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444782</xdr:colOff>
      <xdr:row>48</xdr:row>
      <xdr:rowOff>38187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823EB5-50A3-C662-A5C3-4D9F5ADA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181850"/>
          <a:ext cx="5486682" cy="16955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590550</xdr:colOff>
          <xdr:row>22</xdr:row>
          <xdr:rowOff>25400</xdr:rowOff>
        </xdr:from>
        <xdr:to>
          <xdr:col>26</xdr:col>
          <xdr:colOff>412750</xdr:colOff>
          <xdr:row>24</xdr:row>
          <xdr:rowOff>25400</xdr:rowOff>
        </xdr:to>
        <xdr:sp macro="" textlink="">
          <xdr:nvSpPr>
            <xdr:cNvPr id="18433" name="Scroll Ba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8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18</xdr:col>
      <xdr:colOff>3174</xdr:colOff>
      <xdr:row>4</xdr:row>
      <xdr:rowOff>19050</xdr:rowOff>
    </xdr:from>
    <xdr:to>
      <xdr:col>26</xdr:col>
      <xdr:colOff>419100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37C1C-C84B-40FE-A697-2950A0CB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473074</xdr:colOff>
      <xdr:row>4</xdr:row>
      <xdr:rowOff>6350</xdr:rowOff>
    </xdr:from>
    <xdr:to>
      <xdr:col>35</xdr:col>
      <xdr:colOff>495299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75095-10E6-4929-80F7-F9C568183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opLeftCell="A10" workbookViewId="0">
      <selection activeCell="A34" sqref="A34"/>
    </sheetView>
  </sheetViews>
  <sheetFormatPr defaultRowHeight="14.5" x14ac:dyDescent="0.35"/>
  <cols>
    <col min="1" max="1" width="21.90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25</v>
      </c>
    </row>
    <row r="2" spans="1:25" x14ac:dyDescent="0.35">
      <c r="A2" s="1">
        <v>46113</v>
      </c>
      <c r="B2">
        <v>0</v>
      </c>
      <c r="C2">
        <v>0</v>
      </c>
      <c r="D2">
        <v>0</v>
      </c>
      <c r="E2">
        <v>5.24</v>
      </c>
      <c r="F2">
        <v>4.7</v>
      </c>
      <c r="G2">
        <v>179</v>
      </c>
      <c r="H2">
        <v>179</v>
      </c>
      <c r="I2">
        <v>0</v>
      </c>
      <c r="J2">
        <v>-1</v>
      </c>
      <c r="K2">
        <v>0</v>
      </c>
      <c r="L2">
        <v>1.6830000000000001</v>
      </c>
      <c r="M2">
        <v>-113.2</v>
      </c>
      <c r="N2">
        <v>-149.19999999999999</v>
      </c>
      <c r="O2">
        <v>1.17</v>
      </c>
      <c r="P2">
        <v>1.5009999999999999</v>
      </c>
      <c r="Q2">
        <v>-119.8</v>
      </c>
      <c r="R2">
        <v>-149.1</v>
      </c>
      <c r="S2">
        <v>1.17</v>
      </c>
      <c r="T2">
        <v>1.716725874</v>
      </c>
      <c r="U2">
        <v>87</v>
      </c>
      <c r="V2">
        <v>70</v>
      </c>
      <c r="W2">
        <v>16.599672040000002</v>
      </c>
      <c r="X2">
        <v>0.41166030399999998</v>
      </c>
      <c r="Y2">
        <f>SUM(C2:F2)</f>
        <v>9.9400000000000013</v>
      </c>
    </row>
    <row r="3" spans="1:25" x14ac:dyDescent="0.35">
      <c r="A3" s="1">
        <v>46114</v>
      </c>
      <c r="B3">
        <v>0</v>
      </c>
      <c r="C3">
        <v>0</v>
      </c>
      <c r="D3">
        <v>0</v>
      </c>
      <c r="E3">
        <v>2.5</v>
      </c>
      <c r="F3">
        <v>0.65</v>
      </c>
      <c r="G3">
        <v>175.8</v>
      </c>
      <c r="H3">
        <v>166.6</v>
      </c>
      <c r="I3">
        <v>9.1999999999999993</v>
      </c>
      <c r="J3">
        <v>-1</v>
      </c>
      <c r="K3">
        <v>0</v>
      </c>
      <c r="L3">
        <v>1.655</v>
      </c>
      <c r="M3">
        <v>-120.9</v>
      </c>
      <c r="N3">
        <v>-149.5</v>
      </c>
      <c r="O3">
        <v>1.1299999999999999</v>
      </c>
      <c r="P3">
        <v>1.484</v>
      </c>
      <c r="Q3">
        <v>-116.2</v>
      </c>
      <c r="R3">
        <v>-149.30000000000001</v>
      </c>
      <c r="S3">
        <v>1.1299999999999999</v>
      </c>
      <c r="T3">
        <v>1.9024654539249399</v>
      </c>
      <c r="U3">
        <v>86</v>
      </c>
      <c r="V3">
        <v>70</v>
      </c>
      <c r="W3">
        <v>16.603941868859899</v>
      </c>
      <c r="X3">
        <v>0.41257639000000002</v>
      </c>
      <c r="Y3">
        <f t="shared" ref="Y3:Y33" si="0">SUM(C3:F3)</f>
        <v>3.15</v>
      </c>
    </row>
    <row r="4" spans="1:25" x14ac:dyDescent="0.35">
      <c r="A4" s="1">
        <v>46115</v>
      </c>
      <c r="B4">
        <v>830</v>
      </c>
      <c r="C4">
        <v>0</v>
      </c>
      <c r="D4">
        <v>0</v>
      </c>
      <c r="E4">
        <v>3.2</v>
      </c>
      <c r="F4">
        <v>0.74</v>
      </c>
      <c r="G4">
        <v>1001.9</v>
      </c>
      <c r="H4">
        <v>167.1</v>
      </c>
      <c r="I4">
        <v>34.799999999999997</v>
      </c>
      <c r="J4">
        <v>-1</v>
      </c>
      <c r="K4">
        <v>0</v>
      </c>
      <c r="L4">
        <v>1.637</v>
      </c>
      <c r="M4">
        <v>-118.3</v>
      </c>
      <c r="N4">
        <v>-150.1</v>
      </c>
      <c r="O4">
        <v>1.032</v>
      </c>
      <c r="P4">
        <v>1.4670000000000001</v>
      </c>
      <c r="Q4">
        <v>-114.7</v>
      </c>
      <c r="R4">
        <v>-150</v>
      </c>
      <c r="S4">
        <v>1.0329999999999999</v>
      </c>
      <c r="T4">
        <v>2.8911261615491699</v>
      </c>
      <c r="U4">
        <v>81</v>
      </c>
      <c r="V4">
        <v>70</v>
      </c>
      <c r="W4">
        <v>17.06562213978</v>
      </c>
      <c r="X4">
        <v>0.42255727999999998</v>
      </c>
      <c r="Y4">
        <f t="shared" si="0"/>
        <v>3.9400000000000004</v>
      </c>
    </row>
    <row r="5" spans="1:25" x14ac:dyDescent="0.35">
      <c r="A5" s="1">
        <v>46116</v>
      </c>
      <c r="B5">
        <v>0</v>
      </c>
      <c r="C5">
        <v>0</v>
      </c>
      <c r="D5">
        <v>0</v>
      </c>
      <c r="E5">
        <v>1.8</v>
      </c>
      <c r="F5">
        <v>1.8</v>
      </c>
      <c r="G5">
        <v>998.3</v>
      </c>
      <c r="H5">
        <v>1018.7</v>
      </c>
      <c r="I5">
        <v>-20.399999999999999</v>
      </c>
      <c r="J5">
        <v>-1</v>
      </c>
      <c r="K5">
        <v>0</v>
      </c>
      <c r="L5">
        <v>5.0540000000000003</v>
      </c>
      <c r="M5">
        <v>-121.6</v>
      </c>
      <c r="N5">
        <v>-153.69999999999999</v>
      </c>
      <c r="O5">
        <v>0.7</v>
      </c>
      <c r="P5">
        <v>6.1459999999999999</v>
      </c>
      <c r="Q5">
        <v>-123.4</v>
      </c>
      <c r="R5">
        <v>-154.4</v>
      </c>
      <c r="S5">
        <v>0.7</v>
      </c>
      <c r="T5">
        <v>2.9020915496719502</v>
      </c>
      <c r="U5">
        <v>81</v>
      </c>
      <c r="V5">
        <v>70</v>
      </c>
      <c r="W5">
        <v>17.069295087859999</v>
      </c>
      <c r="X5">
        <v>0.43056803999999999</v>
      </c>
      <c r="Y5">
        <f t="shared" si="0"/>
        <v>3.6</v>
      </c>
    </row>
    <row r="6" spans="1:25" x14ac:dyDescent="0.35">
      <c r="A6" s="1">
        <v>46117</v>
      </c>
      <c r="B6">
        <v>0</v>
      </c>
      <c r="C6">
        <v>0</v>
      </c>
      <c r="D6">
        <v>0</v>
      </c>
      <c r="E6">
        <v>3.5</v>
      </c>
      <c r="F6">
        <v>0.2</v>
      </c>
      <c r="G6">
        <v>994.6</v>
      </c>
      <c r="H6">
        <v>1011.8</v>
      </c>
      <c r="I6">
        <v>-17.2</v>
      </c>
      <c r="J6">
        <v>-1</v>
      </c>
      <c r="K6">
        <v>0</v>
      </c>
      <c r="L6">
        <v>5.0179999999999998</v>
      </c>
      <c r="M6">
        <v>-129.6</v>
      </c>
      <c r="N6">
        <v>-153.69999999999999</v>
      </c>
      <c r="O6">
        <v>0.72599999999999998</v>
      </c>
      <c r="P6">
        <v>6.1260000000000003</v>
      </c>
      <c r="Q6">
        <v>-152.80000000000001</v>
      </c>
      <c r="R6">
        <v>-153.9</v>
      </c>
      <c r="S6">
        <v>0.72599999999999998</v>
      </c>
      <c r="T6">
        <v>2.9125734905871998</v>
      </c>
      <c r="U6">
        <v>81</v>
      </c>
      <c r="V6">
        <v>70</v>
      </c>
      <c r="W6">
        <v>17.073240588600001</v>
      </c>
      <c r="X6">
        <v>0.43008975999999999</v>
      </c>
      <c r="Y6">
        <f t="shared" si="0"/>
        <v>3.7</v>
      </c>
    </row>
    <row r="7" spans="1:25" x14ac:dyDescent="0.35">
      <c r="A7" s="1">
        <v>46118</v>
      </c>
      <c r="B7">
        <v>0</v>
      </c>
      <c r="C7">
        <v>6.51</v>
      </c>
      <c r="D7">
        <v>0</v>
      </c>
      <c r="E7">
        <v>3.7</v>
      </c>
      <c r="F7">
        <v>0.6</v>
      </c>
      <c r="G7">
        <v>983.8</v>
      </c>
      <c r="H7">
        <v>999</v>
      </c>
      <c r="I7">
        <v>-15.2</v>
      </c>
      <c r="J7">
        <v>-1</v>
      </c>
      <c r="K7">
        <v>0</v>
      </c>
      <c r="L7">
        <v>4.9969999999999999</v>
      </c>
      <c r="M7">
        <v>-143.4</v>
      </c>
      <c r="N7">
        <v>-153.5</v>
      </c>
      <c r="O7">
        <v>0.73499999999999999</v>
      </c>
      <c r="P7">
        <v>6.0309999999999997</v>
      </c>
      <c r="Q7">
        <v>-151.5</v>
      </c>
      <c r="R7">
        <v>-153.69999999999999</v>
      </c>
      <c r="S7">
        <v>0.73599999999999999</v>
      </c>
      <c r="T7">
        <v>2.9265961107706802</v>
      </c>
      <c r="U7">
        <v>81</v>
      </c>
      <c r="V7">
        <v>70</v>
      </c>
      <c r="W7">
        <v>17.077666940239901</v>
      </c>
      <c r="X7">
        <v>0.42978113000000001</v>
      </c>
      <c r="Y7">
        <f t="shared" si="0"/>
        <v>10.81</v>
      </c>
    </row>
    <row r="8" spans="1:25" x14ac:dyDescent="0.35">
      <c r="A8" s="1">
        <v>46119</v>
      </c>
      <c r="B8">
        <v>0</v>
      </c>
      <c r="C8">
        <v>0</v>
      </c>
      <c r="D8">
        <v>0</v>
      </c>
      <c r="E8">
        <v>3.7</v>
      </c>
      <c r="F8">
        <v>0.9</v>
      </c>
      <c r="G8">
        <v>979.2</v>
      </c>
      <c r="H8">
        <v>993.1</v>
      </c>
      <c r="I8">
        <v>-13.9</v>
      </c>
      <c r="J8">
        <v>-1</v>
      </c>
      <c r="K8">
        <v>0</v>
      </c>
      <c r="L8">
        <v>4.9809999999999999</v>
      </c>
      <c r="M8">
        <v>-143.1</v>
      </c>
      <c r="N8">
        <v>-153.69999999999999</v>
      </c>
      <c r="O8">
        <v>0.71499999999999997</v>
      </c>
      <c r="P8">
        <v>5.9850000000000003</v>
      </c>
      <c r="Q8">
        <v>-150.69999999999999</v>
      </c>
      <c r="R8">
        <v>-153.80000000000001</v>
      </c>
      <c r="S8">
        <v>0.71599999999999997</v>
      </c>
      <c r="T8">
        <v>2.9409106525610098</v>
      </c>
      <c r="U8">
        <v>81</v>
      </c>
      <c r="V8">
        <v>70</v>
      </c>
      <c r="W8">
        <v>17.08251812104</v>
      </c>
      <c r="X8">
        <v>0.43016848000000002</v>
      </c>
      <c r="Y8">
        <f t="shared" si="0"/>
        <v>4.6000000000000005</v>
      </c>
    </row>
    <row r="9" spans="1:25" x14ac:dyDescent="0.35">
      <c r="A9" s="1">
        <v>46120</v>
      </c>
      <c r="B9">
        <v>0</v>
      </c>
      <c r="C9">
        <v>0</v>
      </c>
      <c r="D9">
        <v>0</v>
      </c>
      <c r="E9">
        <v>3.7</v>
      </c>
      <c r="F9">
        <v>1</v>
      </c>
      <c r="G9">
        <v>974.5</v>
      </c>
      <c r="H9">
        <v>998.7</v>
      </c>
      <c r="I9">
        <v>-24.2</v>
      </c>
      <c r="J9">
        <v>-1</v>
      </c>
      <c r="K9">
        <v>0</v>
      </c>
      <c r="L9">
        <v>5.0090000000000003</v>
      </c>
      <c r="M9">
        <v>-140.69999999999999</v>
      </c>
      <c r="N9">
        <v>-153.9</v>
      </c>
      <c r="O9">
        <v>0.69399999999999995</v>
      </c>
      <c r="P9">
        <v>6</v>
      </c>
      <c r="Q9">
        <v>-150.6</v>
      </c>
      <c r="R9">
        <v>-153.9</v>
      </c>
      <c r="S9">
        <v>0.69499999999999995</v>
      </c>
      <c r="T9">
        <v>2.95577575971538</v>
      </c>
      <c r="U9">
        <v>81</v>
      </c>
      <c r="V9">
        <v>70</v>
      </c>
      <c r="W9">
        <v>17.087537620799999</v>
      </c>
      <c r="X9">
        <v>0.43056003999999998</v>
      </c>
      <c r="Y9">
        <f t="shared" si="0"/>
        <v>4.7</v>
      </c>
    </row>
    <row r="10" spans="1:25" x14ac:dyDescent="0.35">
      <c r="A10" s="1">
        <v>46121</v>
      </c>
      <c r="B10">
        <v>0</v>
      </c>
      <c r="C10">
        <v>12.8</v>
      </c>
      <c r="D10">
        <v>0</v>
      </c>
      <c r="E10">
        <v>4.7</v>
      </c>
      <c r="F10">
        <v>0.3</v>
      </c>
      <c r="G10">
        <v>956.7</v>
      </c>
      <c r="H10">
        <v>977.4</v>
      </c>
      <c r="I10">
        <v>-20.7</v>
      </c>
      <c r="J10">
        <v>-1</v>
      </c>
      <c r="K10">
        <v>0</v>
      </c>
      <c r="L10">
        <v>4.9859999999999998</v>
      </c>
      <c r="M10">
        <v>-135.4</v>
      </c>
      <c r="N10">
        <v>-153.6</v>
      </c>
      <c r="O10">
        <v>0.72399999999999998</v>
      </c>
      <c r="P10">
        <v>5.8330000000000002</v>
      </c>
      <c r="Q10">
        <v>-149.19999999999999</v>
      </c>
      <c r="R10">
        <v>-153.69999999999999</v>
      </c>
      <c r="S10">
        <v>0.72399999999999998</v>
      </c>
      <c r="T10">
        <v>2.9719804145976001</v>
      </c>
      <c r="U10">
        <v>81</v>
      </c>
      <c r="V10">
        <v>70</v>
      </c>
      <c r="W10">
        <v>17.093019997700001</v>
      </c>
      <c r="X10">
        <v>0.43018309999999998</v>
      </c>
      <c r="Y10">
        <f t="shared" si="0"/>
        <v>17.8</v>
      </c>
    </row>
    <row r="11" spans="1:25" x14ac:dyDescent="0.35">
      <c r="A11" s="1">
        <v>46122</v>
      </c>
      <c r="B11">
        <v>0</v>
      </c>
      <c r="C11">
        <v>14.03</v>
      </c>
      <c r="D11">
        <v>0</v>
      </c>
      <c r="E11">
        <v>4.9000000000000004</v>
      </c>
      <c r="F11">
        <v>0</v>
      </c>
      <c r="G11">
        <v>937.8</v>
      </c>
      <c r="H11">
        <v>954.1</v>
      </c>
      <c r="I11">
        <v>-16.3</v>
      </c>
      <c r="J11">
        <v>-1</v>
      </c>
      <c r="K11">
        <v>0</v>
      </c>
      <c r="L11">
        <v>4.96</v>
      </c>
      <c r="M11">
        <v>-131.69999999999999</v>
      </c>
      <c r="N11">
        <v>-153.5</v>
      </c>
      <c r="O11">
        <v>0.747</v>
      </c>
      <c r="P11">
        <v>5.65</v>
      </c>
      <c r="Q11">
        <v>-140</v>
      </c>
      <c r="R11">
        <v>-153.5</v>
      </c>
      <c r="S11">
        <v>0.747</v>
      </c>
      <c r="T11">
        <v>2.98838216918237</v>
      </c>
      <c r="U11">
        <v>81</v>
      </c>
      <c r="V11">
        <v>70</v>
      </c>
      <c r="W11">
        <v>17.0984442524</v>
      </c>
      <c r="X11">
        <v>0.42998639999999999</v>
      </c>
      <c r="Y11">
        <f t="shared" si="0"/>
        <v>18.93</v>
      </c>
    </row>
    <row r="12" spans="1:25" x14ac:dyDescent="0.35">
      <c r="A12" s="1">
        <v>46123</v>
      </c>
      <c r="B12">
        <v>0</v>
      </c>
      <c r="C12">
        <v>11.63</v>
      </c>
      <c r="D12">
        <v>0</v>
      </c>
      <c r="E12">
        <v>4.3</v>
      </c>
      <c r="F12">
        <v>0</v>
      </c>
      <c r="G12">
        <v>921.8</v>
      </c>
      <c r="H12">
        <v>937.6</v>
      </c>
      <c r="I12">
        <v>-15.8</v>
      </c>
      <c r="J12">
        <v>-1</v>
      </c>
      <c r="K12">
        <v>0</v>
      </c>
      <c r="L12">
        <v>4.9649999999999999</v>
      </c>
      <c r="M12">
        <v>-131.4</v>
      </c>
      <c r="N12">
        <v>-153.1</v>
      </c>
      <c r="O12">
        <v>0.78200000000000003</v>
      </c>
      <c r="P12">
        <v>5.5049999999999999</v>
      </c>
      <c r="Q12">
        <v>-140.6</v>
      </c>
      <c r="R12">
        <v>-153.19999999999999</v>
      </c>
      <c r="S12">
        <v>0.78300000000000003</v>
      </c>
      <c r="T12">
        <v>3.0030778958374702</v>
      </c>
      <c r="U12">
        <v>81</v>
      </c>
      <c r="V12">
        <v>70</v>
      </c>
      <c r="W12">
        <v>17.10339361926</v>
      </c>
      <c r="X12">
        <v>0.42939859000000002</v>
      </c>
      <c r="Y12">
        <f t="shared" si="0"/>
        <v>15.93</v>
      </c>
    </row>
    <row r="13" spans="1:25" x14ac:dyDescent="0.35">
      <c r="A13" s="1">
        <v>46124</v>
      </c>
      <c r="B13">
        <v>0</v>
      </c>
      <c r="C13">
        <v>13.99</v>
      </c>
      <c r="D13">
        <v>0</v>
      </c>
      <c r="E13">
        <v>3.8</v>
      </c>
      <c r="F13">
        <v>0</v>
      </c>
      <c r="G13">
        <v>904</v>
      </c>
      <c r="H13">
        <v>920.4</v>
      </c>
      <c r="I13">
        <v>-16.399999999999999</v>
      </c>
      <c r="J13">
        <v>-1</v>
      </c>
      <c r="K13">
        <v>0</v>
      </c>
      <c r="L13">
        <v>4.9720000000000004</v>
      </c>
      <c r="M13">
        <v>-130.4</v>
      </c>
      <c r="N13">
        <v>-152.69999999999999</v>
      </c>
      <c r="O13">
        <v>0.88300000000000001</v>
      </c>
      <c r="P13">
        <v>5.3529999999999998</v>
      </c>
      <c r="Q13">
        <v>-143.80000000000001</v>
      </c>
      <c r="R13">
        <v>-152.80000000000001</v>
      </c>
      <c r="S13">
        <v>0.88300000000000001</v>
      </c>
      <c r="T13">
        <v>3.0163260752951602</v>
      </c>
      <c r="U13">
        <v>81</v>
      </c>
      <c r="V13">
        <v>70</v>
      </c>
      <c r="W13">
        <v>17.10785205582</v>
      </c>
      <c r="X13">
        <v>0.42869592000000001</v>
      </c>
      <c r="Y13">
        <f t="shared" si="0"/>
        <v>17.79</v>
      </c>
    </row>
    <row r="14" spans="1:25" x14ac:dyDescent="0.35">
      <c r="A14" s="1">
        <v>46125</v>
      </c>
      <c r="B14">
        <v>0</v>
      </c>
      <c r="C14">
        <v>2.5099999999999998</v>
      </c>
      <c r="D14">
        <v>0</v>
      </c>
      <c r="E14">
        <v>3.4</v>
      </c>
      <c r="F14">
        <v>0</v>
      </c>
      <c r="G14">
        <v>898.1</v>
      </c>
      <c r="H14">
        <v>914.1</v>
      </c>
      <c r="I14">
        <v>-16</v>
      </c>
      <c r="J14">
        <v>-1</v>
      </c>
      <c r="K14">
        <v>0</v>
      </c>
      <c r="L14">
        <v>4.9640000000000004</v>
      </c>
      <c r="M14">
        <v>-134.69999999999999</v>
      </c>
      <c r="N14">
        <v>-152.4</v>
      </c>
      <c r="O14">
        <v>0.92900000000000005</v>
      </c>
      <c r="P14">
        <v>5.3140000000000001</v>
      </c>
      <c r="Q14">
        <v>-135.5</v>
      </c>
      <c r="R14">
        <v>-152.5</v>
      </c>
      <c r="S14">
        <v>0.93</v>
      </c>
      <c r="T14">
        <v>3.0280221661487698</v>
      </c>
      <c r="U14">
        <v>81</v>
      </c>
      <c r="V14">
        <v>70</v>
      </c>
      <c r="W14">
        <v>17.111919764020001</v>
      </c>
      <c r="X14">
        <v>0.42818641000000002</v>
      </c>
      <c r="Y14">
        <f t="shared" si="0"/>
        <v>5.91</v>
      </c>
    </row>
    <row r="15" spans="1:25" x14ac:dyDescent="0.35">
      <c r="A15" s="1">
        <v>46126</v>
      </c>
      <c r="B15">
        <v>0</v>
      </c>
      <c r="C15">
        <v>6.02</v>
      </c>
      <c r="D15">
        <v>0</v>
      </c>
      <c r="E15">
        <v>3.6</v>
      </c>
      <c r="F15">
        <v>0.26</v>
      </c>
      <c r="G15">
        <v>888.3</v>
      </c>
      <c r="H15">
        <v>903.6</v>
      </c>
      <c r="I15">
        <v>-15.3</v>
      </c>
      <c r="J15">
        <v>-1</v>
      </c>
      <c r="K15">
        <v>0</v>
      </c>
      <c r="L15">
        <v>4.8659999999999997</v>
      </c>
      <c r="M15">
        <v>-139.9</v>
      </c>
      <c r="N15">
        <v>-152</v>
      </c>
      <c r="O15">
        <v>0.93100000000000005</v>
      </c>
      <c r="P15">
        <v>5.3310000000000004</v>
      </c>
      <c r="Q15">
        <v>-131.6</v>
      </c>
      <c r="R15">
        <v>-152.1</v>
      </c>
      <c r="S15">
        <v>0.93100000000000005</v>
      </c>
      <c r="T15">
        <v>3.0421429800937698</v>
      </c>
      <c r="U15">
        <v>81</v>
      </c>
      <c r="V15">
        <v>70</v>
      </c>
      <c r="W15">
        <v>17.116530477080001</v>
      </c>
      <c r="X15">
        <v>0.42749556999999999</v>
      </c>
      <c r="Y15">
        <f t="shared" si="0"/>
        <v>9.879999999999999</v>
      </c>
    </row>
    <row r="16" spans="1:25" x14ac:dyDescent="0.35">
      <c r="A16" s="1">
        <v>46127</v>
      </c>
      <c r="B16">
        <v>0</v>
      </c>
      <c r="C16">
        <v>13.5</v>
      </c>
      <c r="D16">
        <v>0</v>
      </c>
      <c r="E16">
        <v>5.2</v>
      </c>
      <c r="F16">
        <v>17.899999999999999</v>
      </c>
      <c r="G16">
        <v>851.7</v>
      </c>
      <c r="H16">
        <v>871</v>
      </c>
      <c r="I16">
        <v>-19.3</v>
      </c>
      <c r="J16">
        <v>-1</v>
      </c>
      <c r="K16">
        <v>0</v>
      </c>
      <c r="L16">
        <v>4.5839999999999996</v>
      </c>
      <c r="M16">
        <v>-139.69999999999999</v>
      </c>
      <c r="N16">
        <v>-153</v>
      </c>
      <c r="O16">
        <v>0.76300000000000001</v>
      </c>
      <c r="P16">
        <v>5.2779999999999996</v>
      </c>
      <c r="Q16">
        <v>-141.19999999999999</v>
      </c>
      <c r="R16">
        <v>-153.1</v>
      </c>
      <c r="S16">
        <v>0.76300000000000001</v>
      </c>
      <c r="T16">
        <v>3.12887197593566</v>
      </c>
      <c r="U16">
        <v>80</v>
      </c>
      <c r="V16">
        <v>70</v>
      </c>
      <c r="W16">
        <v>17.145635546000001</v>
      </c>
      <c r="X16">
        <v>0.43007072000000002</v>
      </c>
      <c r="Y16">
        <f t="shared" si="0"/>
        <v>36.599999999999994</v>
      </c>
    </row>
    <row r="17" spans="1:25" x14ac:dyDescent="0.35">
      <c r="A17" s="1">
        <v>46128</v>
      </c>
      <c r="B17">
        <v>0</v>
      </c>
      <c r="C17">
        <v>15.6</v>
      </c>
      <c r="D17">
        <v>0</v>
      </c>
      <c r="E17">
        <v>4.4000000000000004</v>
      </c>
      <c r="F17">
        <v>6.9</v>
      </c>
      <c r="G17">
        <v>824.8</v>
      </c>
      <c r="H17">
        <v>842.5</v>
      </c>
      <c r="I17">
        <v>-17.7</v>
      </c>
      <c r="J17">
        <v>-1</v>
      </c>
      <c r="K17">
        <v>0</v>
      </c>
      <c r="L17">
        <v>4.3579999999999997</v>
      </c>
      <c r="M17">
        <v>-152</v>
      </c>
      <c r="N17">
        <v>-152.6</v>
      </c>
      <c r="O17">
        <v>0.85499999999999998</v>
      </c>
      <c r="P17">
        <v>5.2539999999999996</v>
      </c>
      <c r="Q17">
        <v>-151.69999999999999</v>
      </c>
      <c r="R17">
        <v>-152.69999999999999</v>
      </c>
      <c r="S17">
        <v>0.85599999999999998</v>
      </c>
      <c r="T17">
        <v>3.1736035111258198</v>
      </c>
      <c r="U17">
        <v>80</v>
      </c>
      <c r="V17">
        <v>70</v>
      </c>
      <c r="W17">
        <v>17.160750151599999</v>
      </c>
      <c r="X17">
        <v>0.42959232000000003</v>
      </c>
      <c r="Y17">
        <f t="shared" si="0"/>
        <v>26.9</v>
      </c>
    </row>
    <row r="18" spans="1:25" x14ac:dyDescent="0.35">
      <c r="A18" s="1">
        <v>46129</v>
      </c>
      <c r="B18">
        <v>0</v>
      </c>
      <c r="C18">
        <v>16</v>
      </c>
      <c r="D18">
        <v>0</v>
      </c>
      <c r="E18">
        <v>3.8</v>
      </c>
      <c r="F18">
        <v>0</v>
      </c>
      <c r="G18">
        <v>805</v>
      </c>
      <c r="H18">
        <v>825.9</v>
      </c>
      <c r="I18">
        <v>-20.9</v>
      </c>
      <c r="J18">
        <v>-1</v>
      </c>
      <c r="K18">
        <v>0</v>
      </c>
      <c r="L18">
        <v>4.226</v>
      </c>
      <c r="M18">
        <v>-151.1</v>
      </c>
      <c r="N18">
        <v>-151.80000000000001</v>
      </c>
      <c r="O18">
        <v>0.96299999999999997</v>
      </c>
      <c r="P18">
        <v>5.2610000000000001</v>
      </c>
      <c r="Q18">
        <v>-151</v>
      </c>
      <c r="R18">
        <v>-151.9</v>
      </c>
      <c r="S18">
        <v>0.96299999999999997</v>
      </c>
      <c r="T18">
        <v>3.1890966429768199</v>
      </c>
      <c r="U18">
        <v>80</v>
      </c>
      <c r="V18">
        <v>70</v>
      </c>
      <c r="W18">
        <v>17.166108305159899</v>
      </c>
      <c r="X18">
        <v>0.42812924000000002</v>
      </c>
      <c r="Y18">
        <f t="shared" si="0"/>
        <v>19.8</v>
      </c>
    </row>
    <row r="19" spans="1:25" x14ac:dyDescent="0.35">
      <c r="A19" s="1">
        <v>46130</v>
      </c>
      <c r="B19">
        <v>0</v>
      </c>
      <c r="C19">
        <v>17.399999999999999</v>
      </c>
      <c r="D19">
        <v>0</v>
      </c>
      <c r="E19">
        <v>3.6</v>
      </c>
      <c r="F19">
        <v>0</v>
      </c>
      <c r="G19">
        <v>784</v>
      </c>
      <c r="H19">
        <v>806.8</v>
      </c>
      <c r="I19">
        <v>-22.8</v>
      </c>
      <c r="J19">
        <v>-1</v>
      </c>
      <c r="K19">
        <v>0</v>
      </c>
      <c r="L19">
        <v>4.351</v>
      </c>
      <c r="M19">
        <v>-148.9</v>
      </c>
      <c r="N19">
        <v>-151</v>
      </c>
      <c r="O19">
        <v>1.071</v>
      </c>
      <c r="P19">
        <v>4.9859999999999998</v>
      </c>
      <c r="Q19">
        <v>-150.30000000000001</v>
      </c>
      <c r="R19">
        <v>-151.1</v>
      </c>
      <c r="S19">
        <v>1.071</v>
      </c>
      <c r="T19">
        <v>3.2043680330116802</v>
      </c>
      <c r="U19">
        <v>80</v>
      </c>
      <c r="V19">
        <v>70</v>
      </c>
      <c r="W19">
        <v>17.17126807072</v>
      </c>
      <c r="X19">
        <v>0.42666688000000003</v>
      </c>
      <c r="Y19">
        <f t="shared" si="0"/>
        <v>21</v>
      </c>
    </row>
    <row r="20" spans="1:25" x14ac:dyDescent="0.35">
      <c r="A20" s="1">
        <v>46131</v>
      </c>
      <c r="B20">
        <v>0</v>
      </c>
      <c r="C20">
        <v>0</v>
      </c>
      <c r="D20">
        <v>0</v>
      </c>
      <c r="E20">
        <v>3.9</v>
      </c>
      <c r="F20">
        <v>0.83</v>
      </c>
      <c r="G20">
        <v>779.2</v>
      </c>
      <c r="H20">
        <v>797.7</v>
      </c>
      <c r="I20">
        <v>-18.5</v>
      </c>
      <c r="J20">
        <v>-1</v>
      </c>
      <c r="K20">
        <v>0</v>
      </c>
      <c r="L20">
        <v>4.2960000000000003</v>
      </c>
      <c r="M20">
        <v>-142.30000000000001</v>
      </c>
      <c r="N20">
        <v>-151.19999999999999</v>
      </c>
      <c r="O20">
        <v>1.038</v>
      </c>
      <c r="P20">
        <v>4.9530000000000003</v>
      </c>
      <c r="Q20">
        <v>-149.19999999999999</v>
      </c>
      <c r="R20">
        <v>-151.30000000000001</v>
      </c>
      <c r="S20">
        <v>1.038</v>
      </c>
      <c r="T20">
        <v>3.2248629423723201</v>
      </c>
      <c r="U20">
        <v>80</v>
      </c>
      <c r="V20">
        <v>70</v>
      </c>
      <c r="W20">
        <v>17.178094983419999</v>
      </c>
      <c r="X20">
        <v>0.42719734999999998</v>
      </c>
      <c r="Y20">
        <f t="shared" si="0"/>
        <v>4.7299999999999995</v>
      </c>
    </row>
    <row r="21" spans="1:25" x14ac:dyDescent="0.35">
      <c r="A21" s="1">
        <v>46132</v>
      </c>
      <c r="B21">
        <v>0</v>
      </c>
      <c r="C21">
        <v>0</v>
      </c>
      <c r="D21">
        <v>0</v>
      </c>
      <c r="E21">
        <v>4.7</v>
      </c>
      <c r="F21">
        <v>1</v>
      </c>
      <c r="G21">
        <v>773.5</v>
      </c>
      <c r="H21">
        <v>771.6</v>
      </c>
      <c r="I21">
        <v>1.9</v>
      </c>
      <c r="J21">
        <v>-1</v>
      </c>
      <c r="K21">
        <v>0</v>
      </c>
      <c r="L21">
        <v>4.1749999999999998</v>
      </c>
      <c r="M21">
        <v>-139.30000000000001</v>
      </c>
      <c r="N21">
        <v>-151.5</v>
      </c>
      <c r="O21">
        <v>0.97899999999999998</v>
      </c>
      <c r="P21">
        <v>4.83</v>
      </c>
      <c r="Q21">
        <v>-147.5</v>
      </c>
      <c r="R21">
        <v>-151.69999999999999</v>
      </c>
      <c r="S21">
        <v>0.97899999999999998</v>
      </c>
      <c r="T21">
        <v>3.2501195395459499</v>
      </c>
      <c r="U21">
        <v>80</v>
      </c>
      <c r="V21">
        <v>70</v>
      </c>
      <c r="W21">
        <v>17.1864207243</v>
      </c>
      <c r="X21">
        <v>0.42806205000000003</v>
      </c>
      <c r="Y21">
        <f t="shared" si="0"/>
        <v>5.7</v>
      </c>
    </row>
    <row r="22" spans="1:25" x14ac:dyDescent="0.35">
      <c r="A22" s="1">
        <v>46133</v>
      </c>
      <c r="B22">
        <v>0</v>
      </c>
      <c r="C22">
        <v>0.8</v>
      </c>
      <c r="D22">
        <v>0</v>
      </c>
      <c r="E22">
        <v>3.4</v>
      </c>
      <c r="F22">
        <v>1.04</v>
      </c>
      <c r="G22">
        <v>768.3</v>
      </c>
      <c r="H22">
        <v>765.3</v>
      </c>
      <c r="I22">
        <v>3</v>
      </c>
      <c r="J22">
        <v>-1</v>
      </c>
      <c r="K22">
        <v>0</v>
      </c>
      <c r="L22">
        <v>4.2050000000000001</v>
      </c>
      <c r="M22">
        <v>-144.30000000000001</v>
      </c>
      <c r="N22">
        <v>-151.69999999999999</v>
      </c>
      <c r="O22">
        <v>0.96499999999999997</v>
      </c>
      <c r="P22">
        <v>4.7380000000000004</v>
      </c>
      <c r="Q22">
        <v>-142.19999999999999</v>
      </c>
      <c r="R22">
        <v>-151.80000000000001</v>
      </c>
      <c r="S22">
        <v>0.96499999999999997</v>
      </c>
      <c r="T22">
        <v>3.2694235168208698</v>
      </c>
      <c r="U22">
        <v>80</v>
      </c>
      <c r="V22">
        <v>70</v>
      </c>
      <c r="W22">
        <v>17.19311140296</v>
      </c>
      <c r="X22">
        <v>0.42848131</v>
      </c>
      <c r="Y22">
        <f t="shared" si="0"/>
        <v>5.24</v>
      </c>
    </row>
    <row r="23" spans="1:25" x14ac:dyDescent="0.35">
      <c r="A23" s="1">
        <v>46134</v>
      </c>
      <c r="B23">
        <v>0</v>
      </c>
      <c r="C23">
        <v>20.6</v>
      </c>
      <c r="D23">
        <v>0</v>
      </c>
      <c r="E23">
        <v>3</v>
      </c>
      <c r="F23">
        <v>0</v>
      </c>
      <c r="G23">
        <v>744.7</v>
      </c>
      <c r="H23">
        <v>742.3</v>
      </c>
      <c r="I23">
        <v>2.4</v>
      </c>
      <c r="J23">
        <v>-1</v>
      </c>
      <c r="K23">
        <v>0</v>
      </c>
      <c r="L23">
        <v>4.2190000000000003</v>
      </c>
      <c r="M23">
        <v>-131.30000000000001</v>
      </c>
      <c r="N23">
        <v>-151.30000000000001</v>
      </c>
      <c r="O23">
        <v>1.0229999999999999</v>
      </c>
      <c r="P23">
        <v>4.532</v>
      </c>
      <c r="Q23">
        <v>-136.69999999999999</v>
      </c>
      <c r="R23">
        <v>-151.4</v>
      </c>
      <c r="S23">
        <v>1.024</v>
      </c>
      <c r="T23">
        <v>3.28310757022546</v>
      </c>
      <c r="U23">
        <v>80</v>
      </c>
      <c r="V23">
        <v>70</v>
      </c>
      <c r="W23">
        <v>17.197724131899999</v>
      </c>
      <c r="X23">
        <v>0.42779074</v>
      </c>
      <c r="Y23">
        <f t="shared" si="0"/>
        <v>23.6</v>
      </c>
    </row>
    <row r="24" spans="1:25" x14ac:dyDescent="0.35">
      <c r="A24" s="1">
        <v>46135</v>
      </c>
      <c r="B24">
        <v>0</v>
      </c>
      <c r="C24">
        <v>19.3</v>
      </c>
      <c r="D24">
        <v>0</v>
      </c>
      <c r="E24">
        <v>4</v>
      </c>
      <c r="F24">
        <v>0</v>
      </c>
      <c r="G24">
        <v>721.4</v>
      </c>
      <c r="H24">
        <v>721.6</v>
      </c>
      <c r="I24">
        <v>-0.2</v>
      </c>
      <c r="J24">
        <v>-1</v>
      </c>
      <c r="K24">
        <v>0</v>
      </c>
      <c r="L24">
        <v>4.2300000000000004</v>
      </c>
      <c r="M24">
        <v>-127.3</v>
      </c>
      <c r="N24">
        <v>-151</v>
      </c>
      <c r="O24">
        <v>1.0660000000000001</v>
      </c>
      <c r="P24">
        <v>4.3440000000000003</v>
      </c>
      <c r="Q24">
        <v>-133</v>
      </c>
      <c r="R24">
        <v>-151.1</v>
      </c>
      <c r="S24">
        <v>1.0669999999999999</v>
      </c>
      <c r="T24">
        <v>3.3023577999941498</v>
      </c>
      <c r="U24">
        <v>80</v>
      </c>
      <c r="V24">
        <v>70</v>
      </c>
      <c r="W24">
        <v>17.204116220619898</v>
      </c>
      <c r="X24">
        <v>0.42733442999999999</v>
      </c>
      <c r="Y24">
        <f t="shared" si="0"/>
        <v>23.3</v>
      </c>
    </row>
    <row r="25" spans="1:25" x14ac:dyDescent="0.35">
      <c r="A25" s="1">
        <v>46136</v>
      </c>
      <c r="B25">
        <v>0</v>
      </c>
      <c r="C25">
        <v>19.399999999999999</v>
      </c>
      <c r="D25">
        <v>0</v>
      </c>
      <c r="E25">
        <v>3.5</v>
      </c>
      <c r="F25">
        <v>0</v>
      </c>
      <c r="G25">
        <v>698.5</v>
      </c>
      <c r="H25">
        <v>694.8</v>
      </c>
      <c r="I25">
        <v>3.7</v>
      </c>
      <c r="J25">
        <v>-1</v>
      </c>
      <c r="K25">
        <v>0</v>
      </c>
      <c r="L25">
        <v>4.2060000000000004</v>
      </c>
      <c r="M25">
        <v>-125.3</v>
      </c>
      <c r="N25">
        <v>-150.69999999999999</v>
      </c>
      <c r="O25">
        <v>1.1000000000000001</v>
      </c>
      <c r="P25">
        <v>4.1360000000000001</v>
      </c>
      <c r="Q25">
        <v>-130.5</v>
      </c>
      <c r="R25">
        <v>-150.80000000000001</v>
      </c>
      <c r="S25">
        <v>1.1020000000000001</v>
      </c>
      <c r="T25">
        <v>3.3195996039981099</v>
      </c>
      <c r="U25">
        <v>80</v>
      </c>
      <c r="V25">
        <v>70</v>
      </c>
      <c r="W25">
        <v>17.20994926202</v>
      </c>
      <c r="X25">
        <v>0.42686801000000002</v>
      </c>
      <c r="Y25">
        <f t="shared" si="0"/>
        <v>22.9</v>
      </c>
    </row>
    <row r="26" spans="1:25" x14ac:dyDescent="0.35">
      <c r="A26" s="1">
        <v>46137</v>
      </c>
      <c r="B26">
        <v>0</v>
      </c>
      <c r="C26">
        <v>12.3</v>
      </c>
      <c r="D26">
        <v>0</v>
      </c>
      <c r="E26">
        <v>3.1</v>
      </c>
      <c r="F26">
        <v>1.8</v>
      </c>
      <c r="G26">
        <v>681.3</v>
      </c>
      <c r="H26">
        <v>676.9</v>
      </c>
      <c r="I26">
        <v>4.4000000000000004</v>
      </c>
      <c r="J26">
        <v>-1</v>
      </c>
      <c r="K26">
        <v>0</v>
      </c>
      <c r="L26">
        <v>4.1980000000000004</v>
      </c>
      <c r="M26">
        <v>-125.1</v>
      </c>
      <c r="N26">
        <v>-150.4</v>
      </c>
      <c r="O26">
        <v>1.123</v>
      </c>
      <c r="P26">
        <v>3.988</v>
      </c>
      <c r="Q26">
        <v>-130.6</v>
      </c>
      <c r="R26">
        <v>-150.5</v>
      </c>
      <c r="S26">
        <v>1.1240000000000001</v>
      </c>
      <c r="T26">
        <v>3.3444253462637001</v>
      </c>
      <c r="U26">
        <v>80</v>
      </c>
      <c r="V26">
        <v>70</v>
      </c>
      <c r="W26">
        <v>17.218305071939898</v>
      </c>
      <c r="X26">
        <v>0.42645579</v>
      </c>
      <c r="Y26">
        <f t="shared" si="0"/>
        <v>17.2</v>
      </c>
    </row>
    <row r="27" spans="1:25" x14ac:dyDescent="0.35">
      <c r="A27" s="1">
        <v>46138</v>
      </c>
      <c r="B27">
        <v>0</v>
      </c>
      <c r="C27">
        <v>21.4</v>
      </c>
      <c r="D27">
        <v>0</v>
      </c>
      <c r="E27">
        <v>3.9</v>
      </c>
      <c r="F27">
        <v>3.83</v>
      </c>
      <c r="G27">
        <v>652.20000000000005</v>
      </c>
      <c r="H27">
        <v>648.4</v>
      </c>
      <c r="I27">
        <v>3.8</v>
      </c>
      <c r="J27">
        <v>-1</v>
      </c>
      <c r="K27">
        <v>0</v>
      </c>
      <c r="L27">
        <v>4.1900000000000004</v>
      </c>
      <c r="M27">
        <v>-123.9</v>
      </c>
      <c r="N27">
        <v>-150.19999999999999</v>
      </c>
      <c r="O27">
        <v>1.165</v>
      </c>
      <c r="P27">
        <v>3.74</v>
      </c>
      <c r="Q27">
        <v>-128.19999999999999</v>
      </c>
      <c r="R27">
        <v>-150.30000000000001</v>
      </c>
      <c r="S27">
        <v>1.1659999999999999</v>
      </c>
      <c r="T27">
        <v>3.3859240406360298</v>
      </c>
      <c r="U27">
        <v>79</v>
      </c>
      <c r="V27">
        <v>70</v>
      </c>
      <c r="W27">
        <v>17.232255471399998</v>
      </c>
      <c r="X27">
        <v>0.42635092000000002</v>
      </c>
      <c r="Y27">
        <f t="shared" si="0"/>
        <v>29.129999999999995</v>
      </c>
    </row>
    <row r="28" spans="1:25" x14ac:dyDescent="0.35">
      <c r="A28" s="1">
        <v>46139</v>
      </c>
      <c r="B28">
        <v>0</v>
      </c>
      <c r="C28">
        <v>10.199999999999999</v>
      </c>
      <c r="D28">
        <v>0</v>
      </c>
      <c r="E28">
        <v>3.9</v>
      </c>
      <c r="F28">
        <v>0</v>
      </c>
      <c r="G28">
        <v>638.1</v>
      </c>
      <c r="H28">
        <v>637</v>
      </c>
      <c r="I28">
        <v>1.1000000000000001</v>
      </c>
      <c r="J28">
        <v>-1</v>
      </c>
      <c r="K28">
        <v>0</v>
      </c>
      <c r="L28">
        <v>4.1840000000000002</v>
      </c>
      <c r="M28">
        <v>-123.7</v>
      </c>
      <c r="N28">
        <v>-150.1</v>
      </c>
      <c r="O28">
        <v>1.17</v>
      </c>
      <c r="P28">
        <v>3.6429999999999998</v>
      </c>
      <c r="Q28">
        <v>-127.7</v>
      </c>
      <c r="R28">
        <v>-150.19999999999999</v>
      </c>
      <c r="S28">
        <v>1.17</v>
      </c>
      <c r="T28">
        <v>3.4080058819133598</v>
      </c>
      <c r="U28">
        <v>79</v>
      </c>
      <c r="V28">
        <v>70</v>
      </c>
      <c r="W28">
        <v>17.239473112459901</v>
      </c>
      <c r="X28">
        <v>0.42630463000000002</v>
      </c>
      <c r="Y28">
        <f t="shared" si="0"/>
        <v>14.1</v>
      </c>
    </row>
    <row r="29" spans="1:25" x14ac:dyDescent="0.35">
      <c r="A29" s="1">
        <v>46140</v>
      </c>
      <c r="B29">
        <v>0</v>
      </c>
      <c r="C29">
        <v>0</v>
      </c>
      <c r="D29">
        <v>0</v>
      </c>
      <c r="E29">
        <v>5.7</v>
      </c>
      <c r="F29">
        <v>12.5</v>
      </c>
      <c r="G29">
        <v>619.9</v>
      </c>
      <c r="H29">
        <v>650.70000000000005</v>
      </c>
      <c r="I29">
        <v>-30.8</v>
      </c>
      <c r="J29">
        <v>-1</v>
      </c>
      <c r="K29">
        <v>0</v>
      </c>
      <c r="L29">
        <v>4.1929999999999996</v>
      </c>
      <c r="M29">
        <v>-137.30000000000001</v>
      </c>
      <c r="N29">
        <v>-151.30000000000001</v>
      </c>
      <c r="O29">
        <v>0.96799999999999997</v>
      </c>
      <c r="P29">
        <v>3.72</v>
      </c>
      <c r="Q29">
        <v>-129.69999999999999</v>
      </c>
      <c r="R29">
        <v>-151.4</v>
      </c>
      <c r="S29">
        <v>0.96699999999999997</v>
      </c>
      <c r="T29">
        <v>3.5122395052791702</v>
      </c>
      <c r="U29">
        <v>79</v>
      </c>
      <c r="V29">
        <v>70</v>
      </c>
      <c r="W29">
        <v>17.274637663939998</v>
      </c>
      <c r="X29">
        <v>0.42935549000000001</v>
      </c>
      <c r="Y29">
        <f t="shared" si="0"/>
        <v>18.2</v>
      </c>
    </row>
    <row r="30" spans="1:25" x14ac:dyDescent="0.35">
      <c r="A30" s="1">
        <v>46141</v>
      </c>
      <c r="B30">
        <v>0</v>
      </c>
      <c r="C30">
        <v>0</v>
      </c>
      <c r="D30">
        <v>0</v>
      </c>
      <c r="E30">
        <v>5.2</v>
      </c>
      <c r="F30">
        <v>11.5</v>
      </c>
      <c r="G30">
        <v>603.20000000000005</v>
      </c>
      <c r="H30">
        <v>613.4</v>
      </c>
      <c r="I30">
        <v>-10.199999999999999</v>
      </c>
      <c r="J30">
        <v>-1</v>
      </c>
      <c r="K30">
        <v>0</v>
      </c>
      <c r="L30">
        <v>3.9729999999999999</v>
      </c>
      <c r="M30">
        <v>-136.9</v>
      </c>
      <c r="N30">
        <v>-152.5</v>
      </c>
      <c r="O30">
        <v>0.83799999999999997</v>
      </c>
      <c r="P30">
        <v>3.57</v>
      </c>
      <c r="Q30">
        <v>-132.19999999999999</v>
      </c>
      <c r="R30">
        <v>-152.6</v>
      </c>
      <c r="S30">
        <v>0.83899999999999997</v>
      </c>
      <c r="T30">
        <v>3.6135250580373399</v>
      </c>
      <c r="U30">
        <v>79</v>
      </c>
      <c r="V30">
        <v>70</v>
      </c>
      <c r="W30">
        <v>17.308778275079899</v>
      </c>
      <c r="X30">
        <v>0.43240946000000002</v>
      </c>
      <c r="Y30">
        <f t="shared" si="0"/>
        <v>16.7</v>
      </c>
    </row>
    <row r="31" spans="1:25" x14ac:dyDescent="0.35">
      <c r="A31" s="1">
        <v>46142</v>
      </c>
      <c r="B31">
        <v>0</v>
      </c>
      <c r="C31">
        <v>0</v>
      </c>
      <c r="D31">
        <v>0</v>
      </c>
      <c r="E31">
        <v>3.7</v>
      </c>
      <c r="F31">
        <v>0.8</v>
      </c>
      <c r="G31">
        <v>598.70000000000005</v>
      </c>
      <c r="H31">
        <v>608.29999999999995</v>
      </c>
      <c r="I31">
        <v>-9.6</v>
      </c>
      <c r="J31">
        <v>-1</v>
      </c>
      <c r="K31">
        <v>0</v>
      </c>
      <c r="L31">
        <v>3.9470000000000001</v>
      </c>
      <c r="M31">
        <v>-132.69999999999999</v>
      </c>
      <c r="N31">
        <v>-152.9</v>
      </c>
      <c r="O31">
        <v>0.78500000000000003</v>
      </c>
      <c r="P31">
        <v>3.5409999999999999</v>
      </c>
      <c r="Q31">
        <v>-129.69999999999999</v>
      </c>
      <c r="R31">
        <v>-153</v>
      </c>
      <c r="S31">
        <v>0.78400000000000003</v>
      </c>
      <c r="T31">
        <v>3.6418517454446899</v>
      </c>
      <c r="U31">
        <v>79</v>
      </c>
      <c r="V31">
        <v>70</v>
      </c>
      <c r="W31">
        <v>17.31831231772</v>
      </c>
      <c r="X31">
        <v>0.43339480000000002</v>
      </c>
      <c r="Y31">
        <f t="shared" si="0"/>
        <v>4.5</v>
      </c>
    </row>
    <row r="32" spans="1:25" x14ac:dyDescent="0.35">
      <c r="A32" s="1">
        <v>46143</v>
      </c>
      <c r="B32">
        <v>0</v>
      </c>
      <c r="C32">
        <v>0</v>
      </c>
      <c r="D32">
        <v>0</v>
      </c>
      <c r="E32">
        <v>3.2</v>
      </c>
      <c r="F32">
        <v>0.8</v>
      </c>
      <c r="G32">
        <v>594.70000000000005</v>
      </c>
      <c r="H32">
        <v>605.5</v>
      </c>
      <c r="I32">
        <v>-10.8</v>
      </c>
      <c r="J32">
        <v>-1</v>
      </c>
      <c r="K32">
        <v>0</v>
      </c>
      <c r="L32">
        <v>3.9350000000000001</v>
      </c>
      <c r="M32">
        <v>-129.9</v>
      </c>
      <c r="N32">
        <v>-153.1</v>
      </c>
      <c r="O32">
        <v>0.75900000000000001</v>
      </c>
      <c r="P32">
        <v>3.5230000000000001</v>
      </c>
      <c r="Q32">
        <v>-127.6</v>
      </c>
      <c r="R32">
        <v>-153.19999999999999</v>
      </c>
      <c r="S32">
        <v>0.75800000000000001</v>
      </c>
      <c r="T32">
        <v>3.66799087690314</v>
      </c>
      <c r="U32">
        <v>78</v>
      </c>
      <c r="V32">
        <v>70</v>
      </c>
      <c r="W32">
        <v>17.326804361679901</v>
      </c>
      <c r="X32">
        <v>0.43396538000000001</v>
      </c>
      <c r="Y32">
        <f t="shared" si="0"/>
        <v>4</v>
      </c>
    </row>
    <row r="33" spans="1:25" x14ac:dyDescent="0.35">
      <c r="A33" s="1">
        <v>46144</v>
      </c>
      <c r="B33">
        <v>0</v>
      </c>
      <c r="C33">
        <v>0</v>
      </c>
      <c r="D33">
        <v>0</v>
      </c>
      <c r="E33">
        <v>3.4</v>
      </c>
      <c r="F33">
        <v>0.4</v>
      </c>
      <c r="G33">
        <v>590.9</v>
      </c>
      <c r="H33">
        <v>603</v>
      </c>
      <c r="I33">
        <v>-12.1</v>
      </c>
      <c r="J33">
        <v>-1</v>
      </c>
      <c r="K33">
        <v>0</v>
      </c>
      <c r="L33">
        <v>3.923</v>
      </c>
      <c r="M33">
        <v>-129.1</v>
      </c>
      <c r="N33">
        <v>-153.30000000000001</v>
      </c>
      <c r="O33">
        <v>0.72</v>
      </c>
      <c r="P33">
        <v>3.5059999999999998</v>
      </c>
      <c r="Q33">
        <v>-127</v>
      </c>
      <c r="R33">
        <v>-153.5</v>
      </c>
      <c r="S33">
        <v>0.72099999999999997</v>
      </c>
      <c r="T33">
        <v>3.6920378359787902</v>
      </c>
      <c r="U33">
        <v>78</v>
      </c>
      <c r="V33">
        <v>70</v>
      </c>
      <c r="W33">
        <v>17.335150176780001</v>
      </c>
      <c r="X33">
        <v>0.43461495</v>
      </c>
      <c r="Y33">
        <f t="shared" si="0"/>
        <v>3.8</v>
      </c>
    </row>
  </sheetData>
  <pageMargins left="0.7" right="0.7" top="0.75" bottom="0.75" header="0.3" footer="0.3"/>
  <ignoredErrors>
    <ignoredError sqref="Y2:Y3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761D-7B95-474B-A7CF-4338DA167BBE}">
  <sheetPr>
    <tabColor rgb="FF92D050"/>
  </sheetPr>
  <dimension ref="M1:AL21"/>
  <sheetViews>
    <sheetView topLeftCell="E1" workbookViewId="0">
      <selection activeCell="N2" sqref="N2"/>
    </sheetView>
  </sheetViews>
  <sheetFormatPr defaultRowHeight="14.5" x14ac:dyDescent="0.35"/>
  <cols>
    <col min="14" max="14" width="11.6328125" customWidth="1"/>
  </cols>
  <sheetData>
    <row r="1" spans="13:38" x14ac:dyDescent="0.35">
      <c r="M1" s="2">
        <v>12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</row>
    <row r="2" spans="13:38" x14ac:dyDescent="0.35">
      <c r="M2" s="2"/>
      <c r="N2" s="3" cm="1">
        <f t="array" ref="N2">INDEX(amber!A:A,$M$1+ROW(A2))</f>
        <v>46125</v>
      </c>
      <c r="O2" s="2" cm="1">
        <f t="array" ref="O2">INDEX(amber!B:B,$M$1+ROW(B2))</f>
        <v>0</v>
      </c>
      <c r="P2" s="2" cm="1">
        <f t="array" ref="P2">INDEX(amber!C:C,$M$1+ROW(C2))</f>
        <v>2.5099999999999998</v>
      </c>
      <c r="Q2" s="2" cm="1">
        <f t="array" ref="Q2">INDEX(amber!D:D,$M$1+ROW(D2))</f>
        <v>0</v>
      </c>
      <c r="R2" s="2" cm="1">
        <f t="array" ref="R2">INDEX(amber!E:E,$M$1+ROW(E2))</f>
        <v>3.4</v>
      </c>
      <c r="S2" s="2" cm="1">
        <f t="array" ref="S2">INDEX(amber!F:F,$M$1+ROW(F2))</f>
        <v>0</v>
      </c>
      <c r="T2" s="2" cm="1">
        <f t="array" ref="T2">INDEX(amber!G:G,$M$1+ROW(G2))</f>
        <v>898.1</v>
      </c>
      <c r="U2" s="2" cm="1">
        <f t="array" ref="U2">INDEX(amber!H:H,$M$1+ROW(H2))</f>
        <v>914.1</v>
      </c>
      <c r="V2" s="2" cm="1">
        <f t="array" ref="V2">INDEX(amber!I:I,$M$1+ROW(I2))</f>
        <v>-16</v>
      </c>
      <c r="W2" s="2" cm="1">
        <f t="array" ref="W2">INDEX(amber!J:J,$M$1+ROW(J2))</f>
        <v>-1</v>
      </c>
      <c r="X2" s="2" cm="1">
        <f t="array" ref="X2">INDEX(amber!K:K,$M$1+ROW(K2))</f>
        <v>0</v>
      </c>
      <c r="Y2" s="2" cm="1">
        <f t="array" ref="Y2">INDEX(amber!L:L,$M$1+ROW(L2))</f>
        <v>4.9640000000000004</v>
      </c>
      <c r="Z2" s="2" cm="1">
        <f t="array" ref="Z2">INDEX(amber!M:M,$M$1+ROW(M2))</f>
        <v>-134.69999999999999</v>
      </c>
      <c r="AA2" s="2" cm="1">
        <f t="array" ref="AA2">INDEX(amber!N:N,$M$1+ROW(N2))</f>
        <v>-152.4</v>
      </c>
      <c r="AB2" s="2" cm="1">
        <f t="array" ref="AB2">INDEX(amber!O:O,$M$1+ROW(O2))</f>
        <v>0.92900000000000005</v>
      </c>
      <c r="AC2" s="2" cm="1">
        <f t="array" ref="AC2">INDEX(amber!P:P,$M$1+ROW(P2))</f>
        <v>5.3140000000000001</v>
      </c>
      <c r="AD2" s="2" cm="1">
        <f t="array" ref="AD2">INDEX(amber!Q:Q,$M$1+ROW(Q2))</f>
        <v>-135.5</v>
      </c>
      <c r="AE2" s="2" cm="1">
        <f t="array" ref="AE2">INDEX(amber!R:R,$M$1+ROW(R2))</f>
        <v>-152.5</v>
      </c>
      <c r="AF2" s="2" cm="1">
        <f t="array" ref="AF2">INDEX(amber!S:S,$M$1+ROW(S2))</f>
        <v>0.93</v>
      </c>
      <c r="AG2" s="2" cm="1">
        <f t="array" ref="AG2">INDEX(amber!T:T,$M$1+ROW(T2))</f>
        <v>3.0280221661487698</v>
      </c>
      <c r="AH2" s="2" cm="1">
        <f t="array" ref="AH2">INDEX(amber!U:U,$M$1+ROW(U2))</f>
        <v>81</v>
      </c>
      <c r="AI2" s="2" cm="1">
        <f t="array" ref="AI2">INDEX(amber!V:V,$M$1+ROW(V2))</f>
        <v>70</v>
      </c>
      <c r="AJ2" s="2" cm="1">
        <f t="array" ref="AJ2">INDEX(amber!W:W,$M$1+ROW(W2))</f>
        <v>17.111919764020001</v>
      </c>
      <c r="AK2" s="2" cm="1">
        <f t="array" ref="AK2">INDEX(amber!X:X,$M$1+ROW(X2))</f>
        <v>0.42818641000000002</v>
      </c>
      <c r="AL2" s="2" cm="1">
        <f t="array" ref="AL2">INDEX(amber!Y:Y,$M$1+ROW(Y2))</f>
        <v>5.91</v>
      </c>
    </row>
    <row r="3" spans="13:38" x14ac:dyDescent="0.35">
      <c r="M3" s="2"/>
      <c r="N3" s="3" cm="1">
        <f t="array" ref="N3">INDEX(amber!A:A,$M$1+ROW(A3))</f>
        <v>46126</v>
      </c>
      <c r="O3" s="2" cm="1">
        <f t="array" ref="O3">INDEX(amber!B:B,$M$1+ROW(B3))</f>
        <v>0</v>
      </c>
      <c r="P3" s="2" cm="1">
        <f t="array" ref="P3">INDEX(amber!C:C,$M$1+ROW(C3))</f>
        <v>6.02</v>
      </c>
      <c r="Q3" s="2" cm="1">
        <f t="array" ref="Q3">INDEX(amber!D:D,$M$1+ROW(D3))</f>
        <v>0</v>
      </c>
      <c r="R3" s="2" cm="1">
        <f t="array" ref="R3">INDEX(amber!E:E,$M$1+ROW(E3))</f>
        <v>3.6</v>
      </c>
      <c r="S3" s="2" cm="1">
        <f t="array" ref="S3">INDEX(amber!F:F,$M$1+ROW(F3))</f>
        <v>0.26</v>
      </c>
      <c r="T3" s="2" cm="1">
        <f t="array" ref="T3">INDEX(amber!G:G,$M$1+ROW(G3))</f>
        <v>888.3</v>
      </c>
      <c r="U3" s="2" cm="1">
        <f t="array" ref="U3">INDEX(amber!H:H,$M$1+ROW(H3))</f>
        <v>903.6</v>
      </c>
      <c r="V3" s="2" cm="1">
        <f t="array" ref="V3">INDEX(amber!I:I,$M$1+ROW(I3))</f>
        <v>-15.3</v>
      </c>
      <c r="W3" s="2" cm="1">
        <f t="array" ref="W3">INDEX(amber!J:J,$M$1+ROW(J3))</f>
        <v>-1</v>
      </c>
      <c r="X3" s="2" cm="1">
        <f t="array" ref="X3">INDEX(amber!K:K,$M$1+ROW(K3))</f>
        <v>0</v>
      </c>
      <c r="Y3" s="2" cm="1">
        <f t="array" ref="Y3">INDEX(amber!L:L,$M$1+ROW(L3))</f>
        <v>4.8659999999999997</v>
      </c>
      <c r="Z3" s="2" cm="1">
        <f t="array" ref="Z3">INDEX(amber!M:M,$M$1+ROW(M3))</f>
        <v>-139.9</v>
      </c>
      <c r="AA3" s="2" cm="1">
        <f t="array" ref="AA3">INDEX(amber!N:N,$M$1+ROW(N3))</f>
        <v>-152</v>
      </c>
      <c r="AB3" s="2" cm="1">
        <f t="array" ref="AB3">INDEX(amber!O:O,$M$1+ROW(O3))</f>
        <v>0.93100000000000005</v>
      </c>
      <c r="AC3" s="2" cm="1">
        <f t="array" ref="AC3">INDEX(amber!P:P,$M$1+ROW(P3))</f>
        <v>5.3310000000000004</v>
      </c>
      <c r="AD3" s="2" cm="1">
        <f t="array" ref="AD3">INDEX(amber!Q:Q,$M$1+ROW(Q3))</f>
        <v>-131.6</v>
      </c>
      <c r="AE3" s="2" cm="1">
        <f t="array" ref="AE3">INDEX(amber!R:R,$M$1+ROW(R3))</f>
        <v>-152.1</v>
      </c>
      <c r="AF3" s="2" cm="1">
        <f t="array" ref="AF3">INDEX(amber!S:S,$M$1+ROW(S3))</f>
        <v>0.93100000000000005</v>
      </c>
      <c r="AG3" s="2" cm="1">
        <f t="array" ref="AG3">INDEX(amber!T:T,$M$1+ROW(T3))</f>
        <v>3.0421429800937698</v>
      </c>
      <c r="AH3" s="2" cm="1">
        <f t="array" ref="AH3">INDEX(amber!U:U,$M$1+ROW(U3))</f>
        <v>81</v>
      </c>
      <c r="AI3" s="2" cm="1">
        <f t="array" ref="AI3">INDEX(amber!V:V,$M$1+ROW(V3))</f>
        <v>70</v>
      </c>
      <c r="AJ3" s="2" cm="1">
        <f t="array" ref="AJ3">INDEX(amber!W:W,$M$1+ROW(W3))</f>
        <v>17.116530477080001</v>
      </c>
      <c r="AK3" s="2" cm="1">
        <f t="array" ref="AK3">INDEX(amber!X:X,$M$1+ROW(X3))</f>
        <v>0.42749556999999999</v>
      </c>
      <c r="AL3" s="2" cm="1">
        <f t="array" ref="AL3">INDEX(amber!Y:Y,$M$1+ROW(Y3))</f>
        <v>9.879999999999999</v>
      </c>
    </row>
    <row r="4" spans="13:38" x14ac:dyDescent="0.35">
      <c r="M4" s="2"/>
      <c r="N4" s="3" cm="1">
        <f t="array" ref="N4">INDEX(amber!A:A,$M$1+ROW(A4))</f>
        <v>46127</v>
      </c>
      <c r="O4" s="2" cm="1">
        <f t="array" ref="O4">INDEX(amber!B:B,$M$1+ROW(B4))</f>
        <v>0</v>
      </c>
      <c r="P4" s="2" cm="1">
        <f t="array" ref="P4">INDEX(amber!C:C,$M$1+ROW(C4))</f>
        <v>13.5</v>
      </c>
      <c r="Q4" s="2" cm="1">
        <f t="array" ref="Q4">INDEX(amber!D:D,$M$1+ROW(D4))</f>
        <v>0</v>
      </c>
      <c r="R4" s="2" cm="1">
        <f t="array" ref="R4">INDEX(amber!E:E,$M$1+ROW(E4))</f>
        <v>5.2</v>
      </c>
      <c r="S4" s="2" cm="1">
        <f t="array" ref="S4">INDEX(amber!F:F,$M$1+ROW(F4))</f>
        <v>17.899999999999999</v>
      </c>
      <c r="T4" s="2" cm="1">
        <f t="array" ref="T4">INDEX(amber!G:G,$M$1+ROW(G4))</f>
        <v>851.7</v>
      </c>
      <c r="U4" s="2" cm="1">
        <f t="array" ref="U4">INDEX(amber!H:H,$M$1+ROW(H4))</f>
        <v>871</v>
      </c>
      <c r="V4" s="2" cm="1">
        <f t="array" ref="V4">INDEX(amber!I:I,$M$1+ROW(I4))</f>
        <v>-19.3</v>
      </c>
      <c r="W4" s="2" cm="1">
        <f t="array" ref="W4">INDEX(amber!J:J,$M$1+ROW(J4))</f>
        <v>-1</v>
      </c>
      <c r="X4" s="2" cm="1">
        <f t="array" ref="X4">INDEX(amber!K:K,$M$1+ROW(K4))</f>
        <v>0</v>
      </c>
      <c r="Y4" s="2" cm="1">
        <f t="array" ref="Y4">INDEX(amber!L:L,$M$1+ROW(L4))</f>
        <v>4.5839999999999996</v>
      </c>
      <c r="Z4" s="2" cm="1">
        <f t="array" ref="Z4">INDEX(amber!M:M,$M$1+ROW(M4))</f>
        <v>-139.69999999999999</v>
      </c>
      <c r="AA4" s="2" cm="1">
        <f t="array" ref="AA4">INDEX(amber!N:N,$M$1+ROW(N4))</f>
        <v>-153</v>
      </c>
      <c r="AB4" s="2" cm="1">
        <f t="array" ref="AB4">INDEX(amber!O:O,$M$1+ROW(O4))</f>
        <v>0.76300000000000001</v>
      </c>
      <c r="AC4" s="2" cm="1">
        <f t="array" ref="AC4">INDEX(amber!P:P,$M$1+ROW(P4))</f>
        <v>5.2779999999999996</v>
      </c>
      <c r="AD4" s="2" cm="1">
        <f t="array" ref="AD4">INDEX(amber!Q:Q,$M$1+ROW(Q4))</f>
        <v>-141.19999999999999</v>
      </c>
      <c r="AE4" s="2" cm="1">
        <f t="array" ref="AE4">INDEX(amber!R:R,$M$1+ROW(R4))</f>
        <v>-153.1</v>
      </c>
      <c r="AF4" s="2" cm="1">
        <f t="array" ref="AF4">INDEX(amber!S:S,$M$1+ROW(S4))</f>
        <v>0.76300000000000001</v>
      </c>
      <c r="AG4" s="2" cm="1">
        <f t="array" ref="AG4">INDEX(amber!T:T,$M$1+ROW(T4))</f>
        <v>3.12887197593566</v>
      </c>
      <c r="AH4" s="2" cm="1">
        <f t="array" ref="AH4">INDEX(amber!U:U,$M$1+ROW(U4))</f>
        <v>80</v>
      </c>
      <c r="AI4" s="2" cm="1">
        <f t="array" ref="AI4">INDEX(amber!V:V,$M$1+ROW(V4))</f>
        <v>70</v>
      </c>
      <c r="AJ4" s="2" cm="1">
        <f t="array" ref="AJ4">INDEX(amber!W:W,$M$1+ROW(W4))</f>
        <v>17.145635546000001</v>
      </c>
      <c r="AK4" s="2" cm="1">
        <f t="array" ref="AK4">INDEX(amber!X:X,$M$1+ROW(X4))</f>
        <v>0.43007072000000002</v>
      </c>
      <c r="AL4" s="2" cm="1">
        <f t="array" ref="AL4">INDEX(amber!Y:Y,$M$1+ROW(Y4))</f>
        <v>36.599999999999994</v>
      </c>
    </row>
    <row r="5" spans="13:38" x14ac:dyDescent="0.35">
      <c r="M5" s="2"/>
      <c r="N5" s="3" cm="1">
        <f t="array" ref="N5">INDEX(amber!A:A,$M$1+ROW(A5))</f>
        <v>46128</v>
      </c>
      <c r="O5" s="2" cm="1">
        <f t="array" ref="O5">INDEX(amber!B:B,$M$1+ROW(B5))</f>
        <v>0</v>
      </c>
      <c r="P5" s="2" cm="1">
        <f t="array" ref="P5">INDEX(amber!C:C,$M$1+ROW(C5))</f>
        <v>15.6</v>
      </c>
      <c r="Q5" s="2" cm="1">
        <f t="array" ref="Q5">INDEX(amber!D:D,$M$1+ROW(D5))</f>
        <v>0</v>
      </c>
      <c r="R5" s="2" cm="1">
        <f t="array" ref="R5">INDEX(amber!E:E,$M$1+ROW(E5))</f>
        <v>4.4000000000000004</v>
      </c>
      <c r="S5" s="2" cm="1">
        <f t="array" ref="S5">INDEX(amber!F:F,$M$1+ROW(F5))</f>
        <v>6.9</v>
      </c>
      <c r="T5" s="2" cm="1">
        <f t="array" ref="T5">INDEX(amber!G:G,$M$1+ROW(G5))</f>
        <v>824.8</v>
      </c>
      <c r="U5" s="2" cm="1">
        <f t="array" ref="U5">INDEX(amber!H:H,$M$1+ROW(H5))</f>
        <v>842.5</v>
      </c>
      <c r="V5" s="2" cm="1">
        <f t="array" ref="V5">INDEX(amber!I:I,$M$1+ROW(I5))</f>
        <v>-17.7</v>
      </c>
      <c r="W5" s="2" cm="1">
        <f t="array" ref="W5">INDEX(amber!J:J,$M$1+ROW(J5))</f>
        <v>-1</v>
      </c>
      <c r="X5" s="2" cm="1">
        <f t="array" ref="X5">INDEX(amber!K:K,$M$1+ROW(K5))</f>
        <v>0</v>
      </c>
      <c r="Y5" s="2" cm="1">
        <f t="array" ref="Y5">INDEX(amber!L:L,$M$1+ROW(L5))</f>
        <v>4.3579999999999997</v>
      </c>
      <c r="Z5" s="2" cm="1">
        <f t="array" ref="Z5">INDEX(amber!M:M,$M$1+ROW(M5))</f>
        <v>-152</v>
      </c>
      <c r="AA5" s="2" cm="1">
        <f t="array" ref="AA5">INDEX(amber!N:N,$M$1+ROW(N5))</f>
        <v>-152.6</v>
      </c>
      <c r="AB5" s="2" cm="1">
        <f t="array" ref="AB5">INDEX(amber!O:O,$M$1+ROW(O5))</f>
        <v>0.85499999999999998</v>
      </c>
      <c r="AC5" s="2" cm="1">
        <f t="array" ref="AC5">INDEX(amber!P:P,$M$1+ROW(P5))</f>
        <v>5.2539999999999996</v>
      </c>
      <c r="AD5" s="2" cm="1">
        <f t="array" ref="AD5">INDEX(amber!Q:Q,$M$1+ROW(Q5))</f>
        <v>-151.69999999999999</v>
      </c>
      <c r="AE5" s="2" cm="1">
        <f t="array" ref="AE5">INDEX(amber!R:R,$M$1+ROW(R5))</f>
        <v>-152.69999999999999</v>
      </c>
      <c r="AF5" s="2" cm="1">
        <f t="array" ref="AF5">INDEX(amber!S:S,$M$1+ROW(S5))</f>
        <v>0.85599999999999998</v>
      </c>
      <c r="AG5" s="2" cm="1">
        <f t="array" ref="AG5">INDEX(amber!T:T,$M$1+ROW(T5))</f>
        <v>3.1736035111258198</v>
      </c>
      <c r="AH5" s="2" cm="1">
        <f t="array" ref="AH5">INDEX(amber!U:U,$M$1+ROW(U5))</f>
        <v>80</v>
      </c>
      <c r="AI5" s="2" cm="1">
        <f t="array" ref="AI5">INDEX(amber!V:V,$M$1+ROW(V5))</f>
        <v>70</v>
      </c>
      <c r="AJ5" s="2" cm="1">
        <f t="array" ref="AJ5">INDEX(amber!W:W,$M$1+ROW(W5))</f>
        <v>17.160750151599999</v>
      </c>
      <c r="AK5" s="2" cm="1">
        <f t="array" ref="AK5">INDEX(amber!X:X,$M$1+ROW(X5))</f>
        <v>0.42959232000000003</v>
      </c>
      <c r="AL5" s="2" cm="1">
        <f t="array" ref="AL5">INDEX(amber!Y:Y,$M$1+ROW(Y5))</f>
        <v>26.9</v>
      </c>
    </row>
    <row r="6" spans="13:38" x14ac:dyDescent="0.35">
      <c r="M6" s="2"/>
      <c r="N6" s="3" cm="1">
        <f t="array" ref="N6">INDEX(amber!A:A,$M$1+ROW(A6))</f>
        <v>46129</v>
      </c>
      <c r="O6" s="2" cm="1">
        <f t="array" ref="O6">INDEX(amber!B:B,$M$1+ROW(B6))</f>
        <v>0</v>
      </c>
      <c r="P6" s="2" cm="1">
        <f t="array" ref="P6">INDEX(amber!C:C,$M$1+ROW(C6))</f>
        <v>16</v>
      </c>
      <c r="Q6" s="2" cm="1">
        <f t="array" ref="Q6">INDEX(amber!D:D,$M$1+ROW(D6))</f>
        <v>0</v>
      </c>
      <c r="R6" s="2" cm="1">
        <f t="array" ref="R6">INDEX(amber!E:E,$M$1+ROW(E6))</f>
        <v>3.8</v>
      </c>
      <c r="S6" s="2" cm="1">
        <f t="array" ref="S6">INDEX(amber!F:F,$M$1+ROW(F6))</f>
        <v>0</v>
      </c>
      <c r="T6" s="2" cm="1">
        <f t="array" ref="T6">INDEX(amber!G:G,$M$1+ROW(G6))</f>
        <v>805</v>
      </c>
      <c r="U6" s="2" cm="1">
        <f t="array" ref="U6">INDEX(amber!H:H,$M$1+ROW(H6))</f>
        <v>825.9</v>
      </c>
      <c r="V6" s="2" cm="1">
        <f t="array" ref="V6">INDEX(amber!I:I,$M$1+ROW(I6))</f>
        <v>-20.9</v>
      </c>
      <c r="W6" s="2" cm="1">
        <f t="array" ref="W6">INDEX(amber!J:J,$M$1+ROW(J6))</f>
        <v>-1</v>
      </c>
      <c r="X6" s="2" cm="1">
        <f t="array" ref="X6">INDEX(amber!K:K,$M$1+ROW(K6))</f>
        <v>0</v>
      </c>
      <c r="Y6" s="2" cm="1">
        <f t="array" ref="Y6">INDEX(amber!L:L,$M$1+ROW(L6))</f>
        <v>4.226</v>
      </c>
      <c r="Z6" s="2" cm="1">
        <f t="array" ref="Z6">INDEX(amber!M:M,$M$1+ROW(M6))</f>
        <v>-151.1</v>
      </c>
      <c r="AA6" s="2" cm="1">
        <f t="array" ref="AA6">INDEX(amber!N:N,$M$1+ROW(N6))</f>
        <v>-151.80000000000001</v>
      </c>
      <c r="AB6" s="2" cm="1">
        <f t="array" ref="AB6">INDEX(amber!O:O,$M$1+ROW(O6))</f>
        <v>0.96299999999999997</v>
      </c>
      <c r="AC6" s="2" cm="1">
        <f t="array" ref="AC6">INDEX(amber!P:P,$M$1+ROW(P6))</f>
        <v>5.2610000000000001</v>
      </c>
      <c r="AD6" s="2" cm="1">
        <f t="array" ref="AD6">INDEX(amber!Q:Q,$M$1+ROW(Q6))</f>
        <v>-151</v>
      </c>
      <c r="AE6" s="2" cm="1">
        <f t="array" ref="AE6">INDEX(amber!R:R,$M$1+ROW(R6))</f>
        <v>-151.9</v>
      </c>
      <c r="AF6" s="2" cm="1">
        <f t="array" ref="AF6">INDEX(amber!S:S,$M$1+ROW(S6))</f>
        <v>0.96299999999999997</v>
      </c>
      <c r="AG6" s="2" cm="1">
        <f t="array" ref="AG6">INDEX(amber!T:T,$M$1+ROW(T6))</f>
        <v>3.1890966429768199</v>
      </c>
      <c r="AH6" s="2" cm="1">
        <f t="array" ref="AH6">INDEX(amber!U:U,$M$1+ROW(U6))</f>
        <v>80</v>
      </c>
      <c r="AI6" s="2" cm="1">
        <f t="array" ref="AI6">INDEX(amber!V:V,$M$1+ROW(V6))</f>
        <v>70</v>
      </c>
      <c r="AJ6" s="2" cm="1">
        <f t="array" ref="AJ6">INDEX(amber!W:W,$M$1+ROW(W6))</f>
        <v>17.166108305159899</v>
      </c>
      <c r="AK6" s="2" cm="1">
        <f t="array" ref="AK6">INDEX(amber!X:X,$M$1+ROW(X6))</f>
        <v>0.42812924000000002</v>
      </c>
      <c r="AL6" s="2" cm="1">
        <f t="array" ref="AL6">INDEX(amber!Y:Y,$M$1+ROW(Y6))</f>
        <v>19.8</v>
      </c>
    </row>
    <row r="7" spans="13:38" x14ac:dyDescent="0.35">
      <c r="M7" s="2"/>
      <c r="N7" s="3" cm="1">
        <f t="array" ref="N7">INDEX(amber!A:A,$M$1+ROW(A7))</f>
        <v>46130</v>
      </c>
      <c r="O7" s="2" cm="1">
        <f t="array" ref="O7">INDEX(amber!B:B,$M$1+ROW(B7))</f>
        <v>0</v>
      </c>
      <c r="P7" s="2" cm="1">
        <f t="array" ref="P7">INDEX(amber!C:C,$M$1+ROW(C7))</f>
        <v>17.399999999999999</v>
      </c>
      <c r="Q7" s="2" cm="1">
        <f t="array" ref="Q7">INDEX(amber!D:D,$M$1+ROW(D7))</f>
        <v>0</v>
      </c>
      <c r="R7" s="2" cm="1">
        <f t="array" ref="R7">INDEX(amber!E:E,$M$1+ROW(E7))</f>
        <v>3.6</v>
      </c>
      <c r="S7" s="2" cm="1">
        <f t="array" ref="S7">INDEX(amber!F:F,$M$1+ROW(F7))</f>
        <v>0</v>
      </c>
      <c r="T7" s="2" cm="1">
        <f t="array" ref="T7">INDEX(amber!G:G,$M$1+ROW(G7))</f>
        <v>784</v>
      </c>
      <c r="U7" s="2" cm="1">
        <f t="array" ref="U7">INDEX(amber!H:H,$M$1+ROW(H7))</f>
        <v>806.8</v>
      </c>
      <c r="V7" s="2" cm="1">
        <f t="array" ref="V7">INDEX(amber!I:I,$M$1+ROW(I7))</f>
        <v>-22.8</v>
      </c>
      <c r="W7" s="2" cm="1">
        <f t="array" ref="W7">INDEX(amber!J:J,$M$1+ROW(J7))</f>
        <v>-1</v>
      </c>
      <c r="X7" s="2" cm="1">
        <f t="array" ref="X7">INDEX(amber!K:K,$M$1+ROW(K7))</f>
        <v>0</v>
      </c>
      <c r="Y7" s="2" cm="1">
        <f t="array" ref="Y7">INDEX(amber!L:L,$M$1+ROW(L7))</f>
        <v>4.351</v>
      </c>
      <c r="Z7" s="2" cm="1">
        <f t="array" ref="Z7">INDEX(amber!M:M,$M$1+ROW(M7))</f>
        <v>-148.9</v>
      </c>
      <c r="AA7" s="2" cm="1">
        <f t="array" ref="AA7">INDEX(amber!N:N,$M$1+ROW(N7))</f>
        <v>-151</v>
      </c>
      <c r="AB7" s="2" cm="1">
        <f t="array" ref="AB7">INDEX(amber!O:O,$M$1+ROW(O7))</f>
        <v>1.071</v>
      </c>
      <c r="AC7" s="2" cm="1">
        <f t="array" ref="AC7">INDEX(amber!P:P,$M$1+ROW(P7))</f>
        <v>4.9859999999999998</v>
      </c>
      <c r="AD7" s="2" cm="1">
        <f t="array" ref="AD7">INDEX(amber!Q:Q,$M$1+ROW(Q7))</f>
        <v>-150.30000000000001</v>
      </c>
      <c r="AE7" s="2" cm="1">
        <f t="array" ref="AE7">INDEX(amber!R:R,$M$1+ROW(R7))</f>
        <v>-151.1</v>
      </c>
      <c r="AF7" s="2" cm="1">
        <f t="array" ref="AF7">INDEX(amber!S:S,$M$1+ROW(S7))</f>
        <v>1.071</v>
      </c>
      <c r="AG7" s="2" cm="1">
        <f t="array" ref="AG7">INDEX(amber!T:T,$M$1+ROW(T7))</f>
        <v>3.2043680330116802</v>
      </c>
      <c r="AH7" s="2" cm="1">
        <f t="array" ref="AH7">INDEX(amber!U:U,$M$1+ROW(U7))</f>
        <v>80</v>
      </c>
      <c r="AI7" s="2" cm="1">
        <f t="array" ref="AI7">INDEX(amber!V:V,$M$1+ROW(V7))</f>
        <v>70</v>
      </c>
      <c r="AJ7" s="2" cm="1">
        <f t="array" ref="AJ7">INDEX(amber!W:W,$M$1+ROW(W7))</f>
        <v>17.17126807072</v>
      </c>
      <c r="AK7" s="2" cm="1">
        <f t="array" ref="AK7">INDEX(amber!X:X,$M$1+ROW(X7))</f>
        <v>0.42666688000000003</v>
      </c>
      <c r="AL7" s="2" cm="1">
        <f t="array" ref="AL7">INDEX(amber!Y:Y,$M$1+ROW(Y7))</f>
        <v>21</v>
      </c>
    </row>
    <row r="8" spans="13:38" x14ac:dyDescent="0.35">
      <c r="M8" s="2"/>
      <c r="N8" s="3" cm="1">
        <f t="array" ref="N8">INDEX(amber!A:A,$M$1+ROW(A8))</f>
        <v>46131</v>
      </c>
      <c r="O8" s="2" cm="1">
        <f t="array" ref="O8">INDEX(amber!B:B,$M$1+ROW(B8))</f>
        <v>0</v>
      </c>
      <c r="P8" s="2" cm="1">
        <f t="array" ref="P8">INDEX(amber!C:C,$M$1+ROW(C8))</f>
        <v>0</v>
      </c>
      <c r="Q8" s="2" cm="1">
        <f t="array" ref="Q8">INDEX(amber!D:D,$M$1+ROW(D8))</f>
        <v>0</v>
      </c>
      <c r="R8" s="2" cm="1">
        <f t="array" ref="R8">INDEX(amber!E:E,$M$1+ROW(E8))</f>
        <v>3.9</v>
      </c>
      <c r="S8" s="2" cm="1">
        <f t="array" ref="S8">INDEX(amber!F:F,$M$1+ROW(F8))</f>
        <v>0.83</v>
      </c>
      <c r="T8" s="2" cm="1">
        <f t="array" ref="T8">INDEX(amber!G:G,$M$1+ROW(G8))</f>
        <v>779.2</v>
      </c>
      <c r="U8" s="2" cm="1">
        <f t="array" ref="U8">INDEX(amber!H:H,$M$1+ROW(H8))</f>
        <v>797.7</v>
      </c>
      <c r="V8" s="2" cm="1">
        <f t="array" ref="V8">INDEX(amber!I:I,$M$1+ROW(I8))</f>
        <v>-18.5</v>
      </c>
      <c r="W8" s="2" cm="1">
        <f t="array" ref="W8">INDEX(amber!J:J,$M$1+ROW(J8))</f>
        <v>-1</v>
      </c>
      <c r="X8" s="2" cm="1">
        <f t="array" ref="X8">INDEX(amber!K:K,$M$1+ROW(K8))</f>
        <v>0</v>
      </c>
      <c r="Y8" s="2" cm="1">
        <f t="array" ref="Y8">INDEX(amber!L:L,$M$1+ROW(L8))</f>
        <v>4.2960000000000003</v>
      </c>
      <c r="Z8" s="2" cm="1">
        <f t="array" ref="Z8">INDEX(amber!M:M,$M$1+ROW(M8))</f>
        <v>-142.30000000000001</v>
      </c>
      <c r="AA8" s="2" cm="1">
        <f t="array" ref="AA8">INDEX(amber!N:N,$M$1+ROW(N8))</f>
        <v>-151.19999999999999</v>
      </c>
      <c r="AB8" s="2" cm="1">
        <f t="array" ref="AB8">INDEX(amber!O:O,$M$1+ROW(O8))</f>
        <v>1.038</v>
      </c>
      <c r="AC8" s="2" cm="1">
        <f t="array" ref="AC8">INDEX(amber!P:P,$M$1+ROW(P8))</f>
        <v>4.9530000000000003</v>
      </c>
      <c r="AD8" s="2" cm="1">
        <f t="array" ref="AD8">INDEX(amber!Q:Q,$M$1+ROW(Q8))</f>
        <v>-149.19999999999999</v>
      </c>
      <c r="AE8" s="2" cm="1">
        <f t="array" ref="AE8">INDEX(amber!R:R,$M$1+ROW(R8))</f>
        <v>-151.30000000000001</v>
      </c>
      <c r="AF8" s="2" cm="1">
        <f t="array" ref="AF8">INDEX(amber!S:S,$M$1+ROW(S8))</f>
        <v>1.038</v>
      </c>
      <c r="AG8" s="2" cm="1">
        <f t="array" ref="AG8">INDEX(amber!T:T,$M$1+ROW(T8))</f>
        <v>3.2248629423723201</v>
      </c>
      <c r="AH8" s="2" cm="1">
        <f t="array" ref="AH8">INDEX(amber!U:U,$M$1+ROW(U8))</f>
        <v>80</v>
      </c>
      <c r="AI8" s="2" cm="1">
        <f t="array" ref="AI8">INDEX(amber!V:V,$M$1+ROW(V8))</f>
        <v>70</v>
      </c>
      <c r="AJ8" s="2" cm="1">
        <f t="array" ref="AJ8">INDEX(amber!W:W,$M$1+ROW(W8))</f>
        <v>17.178094983419999</v>
      </c>
      <c r="AK8" s="2" cm="1">
        <f t="array" ref="AK8">INDEX(amber!X:X,$M$1+ROW(X8))</f>
        <v>0.42719734999999998</v>
      </c>
      <c r="AL8" s="2" cm="1">
        <f t="array" ref="AL8">INDEX(amber!Y:Y,$M$1+ROW(Y8))</f>
        <v>4.7299999999999995</v>
      </c>
    </row>
    <row r="9" spans="13:38" x14ac:dyDescent="0.35">
      <c r="M9" s="2"/>
      <c r="N9" s="3" cm="1">
        <f t="array" ref="N9">INDEX(amber!A:A,$M$1+ROW(A9))</f>
        <v>46132</v>
      </c>
      <c r="O9" s="2" cm="1">
        <f t="array" ref="O9">INDEX(amber!B:B,$M$1+ROW(B9))</f>
        <v>0</v>
      </c>
      <c r="P9" s="2" cm="1">
        <f t="array" ref="P9">INDEX(amber!C:C,$M$1+ROW(C9))</f>
        <v>0</v>
      </c>
      <c r="Q9" s="2" cm="1">
        <f t="array" ref="Q9">INDEX(amber!D:D,$M$1+ROW(D9))</f>
        <v>0</v>
      </c>
      <c r="R9" s="2" cm="1">
        <f t="array" ref="R9">INDEX(amber!E:E,$M$1+ROW(E9))</f>
        <v>4.7</v>
      </c>
      <c r="S9" s="2" cm="1">
        <f t="array" ref="S9">INDEX(amber!F:F,$M$1+ROW(F9))</f>
        <v>1</v>
      </c>
      <c r="T9" s="2" cm="1">
        <f t="array" ref="T9">INDEX(amber!G:G,$M$1+ROW(G9))</f>
        <v>773.5</v>
      </c>
      <c r="U9" s="2" cm="1">
        <f t="array" ref="U9">INDEX(amber!H:H,$M$1+ROW(H9))</f>
        <v>771.6</v>
      </c>
      <c r="V9" s="2" cm="1">
        <f t="array" ref="V9">INDEX(amber!I:I,$M$1+ROW(I9))</f>
        <v>1.9</v>
      </c>
      <c r="W9" s="2" cm="1">
        <f t="array" ref="W9">INDEX(amber!J:J,$M$1+ROW(J9))</f>
        <v>-1</v>
      </c>
      <c r="X9" s="2" cm="1">
        <f t="array" ref="X9">INDEX(amber!K:K,$M$1+ROW(K9))</f>
        <v>0</v>
      </c>
      <c r="Y9" s="2" cm="1">
        <f t="array" ref="Y9">INDEX(amber!L:L,$M$1+ROW(L9))</f>
        <v>4.1749999999999998</v>
      </c>
      <c r="Z9" s="2" cm="1">
        <f t="array" ref="Z9">INDEX(amber!M:M,$M$1+ROW(M9))</f>
        <v>-139.30000000000001</v>
      </c>
      <c r="AA9" s="2" cm="1">
        <f t="array" ref="AA9">INDEX(amber!N:N,$M$1+ROW(N9))</f>
        <v>-151.5</v>
      </c>
      <c r="AB9" s="2" cm="1">
        <f t="array" ref="AB9">INDEX(amber!O:O,$M$1+ROW(O9))</f>
        <v>0.97899999999999998</v>
      </c>
      <c r="AC9" s="2" cm="1">
        <f t="array" ref="AC9">INDEX(amber!P:P,$M$1+ROW(P9))</f>
        <v>4.83</v>
      </c>
      <c r="AD9" s="2" cm="1">
        <f t="array" ref="AD9">INDEX(amber!Q:Q,$M$1+ROW(Q9))</f>
        <v>-147.5</v>
      </c>
      <c r="AE9" s="2" cm="1">
        <f t="array" ref="AE9">INDEX(amber!R:R,$M$1+ROW(R9))</f>
        <v>-151.69999999999999</v>
      </c>
      <c r="AF9" s="2" cm="1">
        <f t="array" ref="AF9">INDEX(amber!S:S,$M$1+ROW(S9))</f>
        <v>0.97899999999999998</v>
      </c>
      <c r="AG9" s="2" cm="1">
        <f t="array" ref="AG9">INDEX(amber!T:T,$M$1+ROW(T9))</f>
        <v>3.2501195395459499</v>
      </c>
      <c r="AH9" s="2" cm="1">
        <f t="array" ref="AH9">INDEX(amber!U:U,$M$1+ROW(U9))</f>
        <v>80</v>
      </c>
      <c r="AI9" s="2" cm="1">
        <f t="array" ref="AI9">INDEX(amber!V:V,$M$1+ROW(V9))</f>
        <v>70</v>
      </c>
      <c r="AJ9" s="2" cm="1">
        <f t="array" ref="AJ9">INDEX(amber!W:W,$M$1+ROW(W9))</f>
        <v>17.1864207243</v>
      </c>
      <c r="AK9" s="2" cm="1">
        <f t="array" ref="AK9">INDEX(amber!X:X,$M$1+ROW(X9))</f>
        <v>0.42806205000000003</v>
      </c>
      <c r="AL9" s="2" cm="1">
        <f t="array" ref="AL9">INDEX(amber!Y:Y,$M$1+ROW(Y9))</f>
        <v>5.7</v>
      </c>
    </row>
    <row r="10" spans="13:38" x14ac:dyDescent="0.35">
      <c r="N10" s="1"/>
    </row>
    <row r="11" spans="13:38" x14ac:dyDescent="0.35">
      <c r="N11" s="1"/>
    </row>
    <row r="12" spans="13:38" x14ac:dyDescent="0.35">
      <c r="N12" s="1"/>
    </row>
    <row r="13" spans="13:38" x14ac:dyDescent="0.35">
      <c r="N13" s="1"/>
    </row>
    <row r="14" spans="13:38" x14ac:dyDescent="0.35">
      <c r="N14" s="1"/>
    </row>
    <row r="15" spans="13:38" x14ac:dyDescent="0.35">
      <c r="N15" s="1"/>
    </row>
    <row r="16" spans="13:38" x14ac:dyDescent="0.35">
      <c r="N16" s="1"/>
    </row>
    <row r="17" spans="14:14" x14ac:dyDescent="0.35">
      <c r="N17" s="1"/>
    </row>
    <row r="18" spans="14:14" x14ac:dyDescent="0.35">
      <c r="N18" s="1"/>
    </row>
    <row r="19" spans="14:14" x14ac:dyDescent="0.35">
      <c r="N19" s="1"/>
    </row>
    <row r="20" spans="14:14" x14ac:dyDescent="0.35">
      <c r="N20" s="1"/>
    </row>
    <row r="21" spans="14:14" x14ac:dyDescent="0.35">
      <c r="N21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croll Bar 1">
              <controlPr defaultSize="0" autoPict="0">
                <anchor moveWithCells="1">
                  <from>
                    <xdr:col>0</xdr:col>
                    <xdr:colOff>603250</xdr:colOff>
                    <xdr:row>20</xdr:row>
                    <xdr:rowOff>6350</xdr:rowOff>
                  </from>
                  <to>
                    <xdr:col>12</xdr:col>
                    <xdr:colOff>12700</xdr:colOff>
                    <xdr:row>21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3B9C-A07D-466D-B353-7628D05D3A7E}">
  <dimension ref="A1:Y47"/>
  <sheetViews>
    <sheetView topLeftCell="A24" workbookViewId="0">
      <selection activeCell="C45" sqref="C45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25</v>
      </c>
    </row>
    <row r="2" spans="1:25" x14ac:dyDescent="0.35">
      <c r="A2" s="1">
        <v>46113</v>
      </c>
      <c r="B2">
        <v>0</v>
      </c>
      <c r="C2">
        <v>0</v>
      </c>
      <c r="D2">
        <v>0</v>
      </c>
      <c r="E2">
        <v>3.5</v>
      </c>
      <c r="F2">
        <v>2.4</v>
      </c>
      <c r="G2">
        <v>150</v>
      </c>
      <c r="H2">
        <v>150</v>
      </c>
      <c r="I2">
        <v>0</v>
      </c>
      <c r="J2">
        <v>-1</v>
      </c>
      <c r="K2">
        <v>0</v>
      </c>
      <c r="L2">
        <v>1.1419999999999999</v>
      </c>
      <c r="M2">
        <v>-105.1</v>
      </c>
      <c r="N2">
        <v>-148.1</v>
      </c>
      <c r="O2">
        <v>1.24</v>
      </c>
      <c r="P2">
        <v>1.5669999999999999</v>
      </c>
      <c r="Q2">
        <v>-112.3</v>
      </c>
      <c r="R2">
        <v>-148.5</v>
      </c>
      <c r="S2">
        <v>1.24</v>
      </c>
      <c r="T2">
        <v>1.7236507729999999</v>
      </c>
      <c r="U2">
        <v>87</v>
      </c>
      <c r="V2">
        <v>70</v>
      </c>
      <c r="W2">
        <v>16.601848610000001</v>
      </c>
      <c r="X2">
        <v>0.41193257799999999</v>
      </c>
      <c r="Y2">
        <f>SUM(C2:F2)</f>
        <v>5.9</v>
      </c>
    </row>
    <row r="3" spans="1:25" x14ac:dyDescent="0.35">
      <c r="A3" s="1">
        <v>46114</v>
      </c>
      <c r="B3">
        <v>0</v>
      </c>
      <c r="C3">
        <v>0</v>
      </c>
      <c r="D3">
        <v>0</v>
      </c>
      <c r="E3">
        <v>3.2</v>
      </c>
      <c r="F3">
        <v>1.1000000000000001</v>
      </c>
      <c r="G3">
        <v>145.69999999999999</v>
      </c>
      <c r="H3">
        <v>131.19999999999999</v>
      </c>
      <c r="I3">
        <v>14.5</v>
      </c>
      <c r="J3">
        <v>-1</v>
      </c>
      <c r="K3">
        <v>0</v>
      </c>
      <c r="L3">
        <v>1.113</v>
      </c>
      <c r="M3">
        <v>-105.5</v>
      </c>
      <c r="N3">
        <v>-149.1</v>
      </c>
      <c r="O3">
        <v>1.0900000000000001</v>
      </c>
      <c r="P3">
        <v>1.542</v>
      </c>
      <c r="Q3">
        <v>-112.1</v>
      </c>
      <c r="R3">
        <v>-149.6</v>
      </c>
      <c r="S3">
        <v>1.0900000000000001</v>
      </c>
      <c r="T3">
        <v>1.46724589386578</v>
      </c>
      <c r="U3">
        <v>88</v>
      </c>
      <c r="V3">
        <v>70</v>
      </c>
      <c r="W3">
        <v>16.62967501808</v>
      </c>
      <c r="X3">
        <v>0.41280021</v>
      </c>
      <c r="Y3">
        <f t="shared" ref="Y3:Y47" si="0">SUM(C3:F3)</f>
        <v>4.3000000000000007</v>
      </c>
    </row>
    <row r="4" spans="1:25" x14ac:dyDescent="0.35">
      <c r="A4" s="1">
        <v>46115</v>
      </c>
      <c r="B4">
        <v>1226.8679999999999</v>
      </c>
      <c r="C4">
        <v>0</v>
      </c>
      <c r="D4">
        <v>0</v>
      </c>
      <c r="E4">
        <v>1.7</v>
      </c>
      <c r="F4">
        <v>0.7</v>
      </c>
      <c r="G4">
        <v>1370.2</v>
      </c>
      <c r="H4">
        <v>166.7</v>
      </c>
      <c r="I4">
        <v>3.5</v>
      </c>
      <c r="J4">
        <v>-1</v>
      </c>
      <c r="K4">
        <v>0</v>
      </c>
      <c r="L4">
        <v>1.5669999999999999</v>
      </c>
      <c r="M4">
        <v>-110.6</v>
      </c>
      <c r="N4">
        <v>-147.9</v>
      </c>
      <c r="O4">
        <v>1.1399999999999999</v>
      </c>
      <c r="P4">
        <v>1.5669999999999999</v>
      </c>
      <c r="Q4">
        <v>-104.8</v>
      </c>
      <c r="R4">
        <v>-148.9</v>
      </c>
      <c r="S4">
        <v>1.1399999999999999</v>
      </c>
      <c r="T4">
        <v>2.4761606995247001</v>
      </c>
      <c r="U4">
        <v>83</v>
      </c>
      <c r="V4">
        <v>70</v>
      </c>
      <c r="W4">
        <v>16.760811685839901</v>
      </c>
      <c r="X4">
        <v>0.41575421000000001</v>
      </c>
      <c r="Y4">
        <f t="shared" si="0"/>
        <v>2.4</v>
      </c>
    </row>
    <row r="5" spans="1:25" x14ac:dyDescent="0.35">
      <c r="A5" s="1">
        <v>46116</v>
      </c>
      <c r="B5">
        <v>0</v>
      </c>
      <c r="C5">
        <v>0</v>
      </c>
      <c r="D5">
        <v>0</v>
      </c>
      <c r="E5">
        <v>3.7</v>
      </c>
      <c r="F5">
        <v>0.8</v>
      </c>
      <c r="G5">
        <v>1365.7</v>
      </c>
      <c r="H5">
        <v>1377.5</v>
      </c>
      <c r="I5">
        <v>-11.8</v>
      </c>
      <c r="J5">
        <v>-1</v>
      </c>
      <c r="K5">
        <v>0</v>
      </c>
      <c r="L5">
        <v>7.452</v>
      </c>
      <c r="M5">
        <v>-154</v>
      </c>
      <c r="N5">
        <v>-155</v>
      </c>
      <c r="O5">
        <v>0.71599999999999997</v>
      </c>
      <c r="P5">
        <v>7.5860000000000003</v>
      </c>
      <c r="Q5">
        <v>-154</v>
      </c>
      <c r="R5">
        <v>-154.4</v>
      </c>
      <c r="S5">
        <v>0.71599999999999997</v>
      </c>
      <c r="T5">
        <v>2.4853994866253801</v>
      </c>
      <c r="U5">
        <v>83</v>
      </c>
      <c r="V5">
        <v>70</v>
      </c>
      <c r="W5">
        <v>16.763075928279999</v>
      </c>
      <c r="X5">
        <v>0.42517803999999998</v>
      </c>
      <c r="Y5">
        <f t="shared" si="0"/>
        <v>4.5</v>
      </c>
    </row>
    <row r="6" spans="1:25" x14ac:dyDescent="0.35">
      <c r="A6" s="1">
        <v>46117</v>
      </c>
      <c r="B6">
        <v>0</v>
      </c>
      <c r="C6">
        <v>0</v>
      </c>
      <c r="D6">
        <v>0</v>
      </c>
      <c r="E6">
        <v>0.2</v>
      </c>
      <c r="F6">
        <v>1.8</v>
      </c>
      <c r="G6">
        <v>1363.7</v>
      </c>
      <c r="H6">
        <v>1376.7</v>
      </c>
      <c r="I6">
        <v>-13</v>
      </c>
      <c r="J6">
        <v>-1</v>
      </c>
      <c r="K6">
        <v>0</v>
      </c>
      <c r="L6">
        <v>7.5039999999999996</v>
      </c>
      <c r="M6">
        <v>-154</v>
      </c>
      <c r="N6">
        <v>-154.1</v>
      </c>
      <c r="O6">
        <v>0.71299999999999997</v>
      </c>
      <c r="P6">
        <v>7.5869999999999997</v>
      </c>
      <c r="Q6">
        <v>-153.9</v>
      </c>
      <c r="R6">
        <v>-153.80000000000001</v>
      </c>
      <c r="S6">
        <v>0.71499999999999997</v>
      </c>
      <c r="T6">
        <v>2.48889980041477</v>
      </c>
      <c r="U6">
        <v>83</v>
      </c>
      <c r="V6">
        <v>70</v>
      </c>
      <c r="W6">
        <v>16.7641559749399</v>
      </c>
      <c r="X6">
        <v>0.42362847999999997</v>
      </c>
      <c r="Y6">
        <f t="shared" si="0"/>
        <v>2</v>
      </c>
    </row>
    <row r="7" spans="1:25" x14ac:dyDescent="0.35">
      <c r="A7" s="1">
        <v>46118</v>
      </c>
      <c r="B7">
        <v>0</v>
      </c>
      <c r="C7">
        <v>0</v>
      </c>
      <c r="D7">
        <v>0</v>
      </c>
      <c r="E7">
        <v>2.7</v>
      </c>
      <c r="F7">
        <v>4.5</v>
      </c>
      <c r="G7">
        <v>1356.5</v>
      </c>
      <c r="H7">
        <v>1373</v>
      </c>
      <c r="I7">
        <v>-16.5</v>
      </c>
      <c r="J7">
        <v>-1</v>
      </c>
      <c r="K7">
        <v>0</v>
      </c>
      <c r="L7">
        <v>7.508</v>
      </c>
      <c r="M7">
        <v>-154</v>
      </c>
      <c r="N7">
        <v>-153.9</v>
      </c>
      <c r="O7">
        <v>0.71399999999999997</v>
      </c>
      <c r="P7">
        <v>7.5410000000000004</v>
      </c>
      <c r="Q7">
        <v>-153.9</v>
      </c>
      <c r="R7">
        <v>-153.80000000000001</v>
      </c>
      <c r="S7">
        <v>0.71399999999999997</v>
      </c>
      <c r="T7">
        <v>2.50263574993813</v>
      </c>
      <c r="U7">
        <v>83</v>
      </c>
      <c r="V7">
        <v>70</v>
      </c>
      <c r="W7">
        <v>16.767965157059901</v>
      </c>
      <c r="X7">
        <v>0.42349738999999997</v>
      </c>
      <c r="Y7">
        <f t="shared" si="0"/>
        <v>7.2</v>
      </c>
    </row>
    <row r="8" spans="1:25" x14ac:dyDescent="0.35">
      <c r="A8" s="1">
        <v>46119</v>
      </c>
      <c r="B8">
        <v>0</v>
      </c>
      <c r="C8">
        <v>0</v>
      </c>
      <c r="D8">
        <v>0</v>
      </c>
      <c r="E8">
        <v>3.2</v>
      </c>
      <c r="F8">
        <v>0.9</v>
      </c>
      <c r="G8">
        <v>1352.4</v>
      </c>
      <c r="H8">
        <v>1362.3</v>
      </c>
      <c r="I8">
        <v>-9.9</v>
      </c>
      <c r="J8">
        <v>-1</v>
      </c>
      <c r="K8">
        <v>0</v>
      </c>
      <c r="L8">
        <v>7.4450000000000003</v>
      </c>
      <c r="M8">
        <v>-153.9</v>
      </c>
      <c r="N8">
        <v>-153.80000000000001</v>
      </c>
      <c r="O8">
        <v>0.72199999999999998</v>
      </c>
      <c r="P8">
        <v>7.47</v>
      </c>
      <c r="Q8">
        <v>-153.9</v>
      </c>
      <c r="R8">
        <v>-153.80000000000001</v>
      </c>
      <c r="S8">
        <v>0.72099999999999997</v>
      </c>
      <c r="T8">
        <v>2.51028750378453</v>
      </c>
      <c r="U8">
        <v>83</v>
      </c>
      <c r="V8">
        <v>70</v>
      </c>
      <c r="W8">
        <v>16.770179340819901</v>
      </c>
      <c r="X8">
        <v>0.42343966</v>
      </c>
      <c r="Y8">
        <f t="shared" si="0"/>
        <v>4.1000000000000005</v>
      </c>
    </row>
    <row r="9" spans="1:25" x14ac:dyDescent="0.35">
      <c r="A9" s="1">
        <v>46120</v>
      </c>
      <c r="B9">
        <v>0</v>
      </c>
      <c r="C9">
        <v>1.1000000000000001</v>
      </c>
      <c r="D9">
        <v>0</v>
      </c>
      <c r="E9">
        <v>3.3</v>
      </c>
      <c r="F9">
        <v>0.9</v>
      </c>
      <c r="G9">
        <v>1347.1</v>
      </c>
      <c r="H9">
        <v>1357.4</v>
      </c>
      <c r="I9">
        <v>-10.3</v>
      </c>
      <c r="J9">
        <v>-1</v>
      </c>
      <c r="K9">
        <v>0</v>
      </c>
      <c r="L9">
        <v>7.4349999999999996</v>
      </c>
      <c r="M9">
        <v>-153.69999999999999</v>
      </c>
      <c r="N9">
        <v>-153.69999999999999</v>
      </c>
      <c r="O9">
        <v>0.73899999999999999</v>
      </c>
      <c r="P9">
        <v>7.4290000000000003</v>
      </c>
      <c r="Q9">
        <v>-153.69999999999999</v>
      </c>
      <c r="R9">
        <v>-153.6</v>
      </c>
      <c r="S9">
        <v>0.73899999999999999</v>
      </c>
      <c r="T9">
        <v>2.5184337066723801</v>
      </c>
      <c r="U9">
        <v>83</v>
      </c>
      <c r="V9">
        <v>70</v>
      </c>
      <c r="W9">
        <v>16.772405535280001</v>
      </c>
      <c r="X9">
        <v>0.42318468999999997</v>
      </c>
      <c r="Y9">
        <f t="shared" si="0"/>
        <v>5.3000000000000007</v>
      </c>
    </row>
    <row r="10" spans="1:25" x14ac:dyDescent="0.35">
      <c r="A10" s="1">
        <v>46121</v>
      </c>
      <c r="B10">
        <v>0</v>
      </c>
      <c r="C10">
        <v>0</v>
      </c>
      <c r="D10">
        <v>0</v>
      </c>
      <c r="E10">
        <v>3.5</v>
      </c>
      <c r="F10">
        <v>1</v>
      </c>
      <c r="G10">
        <v>1342.6</v>
      </c>
      <c r="H10">
        <v>1352.1</v>
      </c>
      <c r="I10">
        <v>-9.5</v>
      </c>
      <c r="J10">
        <v>-1</v>
      </c>
      <c r="K10">
        <v>0</v>
      </c>
      <c r="L10">
        <v>7.4059999999999997</v>
      </c>
      <c r="M10">
        <v>-153.80000000000001</v>
      </c>
      <c r="N10">
        <v>-153.69999999999999</v>
      </c>
      <c r="O10">
        <v>0.72399999999999998</v>
      </c>
      <c r="P10">
        <v>7.391</v>
      </c>
      <c r="Q10">
        <v>-153.80000000000001</v>
      </c>
      <c r="R10">
        <v>-153.6</v>
      </c>
      <c r="S10">
        <v>0.72399999999999998</v>
      </c>
      <c r="T10">
        <v>2.5268848481737498</v>
      </c>
      <c r="U10">
        <v>83</v>
      </c>
      <c r="V10">
        <v>70</v>
      </c>
      <c r="W10">
        <v>16.774872197479901</v>
      </c>
      <c r="X10">
        <v>0.42323465999999998</v>
      </c>
      <c r="Y10">
        <f t="shared" si="0"/>
        <v>4.5</v>
      </c>
    </row>
    <row r="11" spans="1:25" x14ac:dyDescent="0.35">
      <c r="A11" s="1">
        <v>46122</v>
      </c>
      <c r="B11">
        <v>0</v>
      </c>
      <c r="C11">
        <v>0</v>
      </c>
      <c r="D11">
        <v>0</v>
      </c>
      <c r="E11">
        <v>3.8</v>
      </c>
      <c r="F11">
        <v>0.8</v>
      </c>
      <c r="G11">
        <v>1338</v>
      </c>
      <c r="H11">
        <v>1346.9</v>
      </c>
      <c r="I11">
        <v>-8.9</v>
      </c>
      <c r="J11">
        <v>-1</v>
      </c>
      <c r="K11">
        <v>0</v>
      </c>
      <c r="L11">
        <v>7.3630000000000004</v>
      </c>
      <c r="M11">
        <v>-153.80000000000001</v>
      </c>
      <c r="N11">
        <v>-153.69999999999999</v>
      </c>
      <c r="O11">
        <v>0.73099999999999998</v>
      </c>
      <c r="P11">
        <v>7.3680000000000003</v>
      </c>
      <c r="Q11">
        <v>-153.80000000000001</v>
      </c>
      <c r="R11">
        <v>-153.6</v>
      </c>
      <c r="S11">
        <v>0.73199999999999998</v>
      </c>
      <c r="T11">
        <v>2.5358139427083199</v>
      </c>
      <c r="U11">
        <v>83</v>
      </c>
      <c r="V11">
        <v>70</v>
      </c>
      <c r="W11">
        <v>16.777451072319899</v>
      </c>
      <c r="X11">
        <v>0.42328660000000001</v>
      </c>
      <c r="Y11">
        <f t="shared" si="0"/>
        <v>4.5999999999999996</v>
      </c>
    </row>
    <row r="12" spans="1:25" x14ac:dyDescent="0.35">
      <c r="A12" s="1">
        <v>46123</v>
      </c>
      <c r="B12">
        <v>0</v>
      </c>
      <c r="C12">
        <v>0</v>
      </c>
      <c r="D12">
        <v>0</v>
      </c>
      <c r="E12">
        <v>3.3</v>
      </c>
      <c r="F12">
        <v>0.7</v>
      </c>
      <c r="G12">
        <v>1334</v>
      </c>
      <c r="H12">
        <v>1344.1</v>
      </c>
      <c r="I12">
        <v>-10.1</v>
      </c>
      <c r="J12">
        <v>-1</v>
      </c>
      <c r="K12">
        <v>0</v>
      </c>
      <c r="L12">
        <v>7.3470000000000004</v>
      </c>
      <c r="M12">
        <v>-153.80000000000001</v>
      </c>
      <c r="N12">
        <v>-153.69999999999999</v>
      </c>
      <c r="O12">
        <v>0.73099999999999998</v>
      </c>
      <c r="P12">
        <v>7.3479999999999999</v>
      </c>
      <c r="Q12">
        <v>-153.80000000000001</v>
      </c>
      <c r="R12">
        <v>-153.6</v>
      </c>
      <c r="S12">
        <v>0.73</v>
      </c>
      <c r="T12">
        <v>2.5437029248279002</v>
      </c>
      <c r="U12">
        <v>83</v>
      </c>
      <c r="V12">
        <v>70</v>
      </c>
      <c r="W12">
        <v>16.7796071338799</v>
      </c>
      <c r="X12">
        <v>0.42333062999999999</v>
      </c>
      <c r="Y12">
        <f t="shared" si="0"/>
        <v>4</v>
      </c>
    </row>
    <row r="13" spans="1:25" x14ac:dyDescent="0.35">
      <c r="A13" s="1">
        <v>46124</v>
      </c>
      <c r="B13">
        <v>0</v>
      </c>
      <c r="C13">
        <v>0</v>
      </c>
      <c r="D13">
        <v>0</v>
      </c>
      <c r="E13">
        <v>3.5</v>
      </c>
      <c r="F13">
        <v>0.9</v>
      </c>
      <c r="G13">
        <v>1329.6</v>
      </c>
      <c r="H13">
        <v>1341.7</v>
      </c>
      <c r="I13">
        <v>-12.1</v>
      </c>
      <c r="J13">
        <v>-1</v>
      </c>
      <c r="K13">
        <v>0</v>
      </c>
      <c r="L13">
        <v>7.3330000000000002</v>
      </c>
      <c r="M13">
        <v>-153.69999999999999</v>
      </c>
      <c r="N13">
        <v>-153.69999999999999</v>
      </c>
      <c r="O13">
        <v>0.73399999999999999</v>
      </c>
      <c r="P13">
        <v>7.3310000000000004</v>
      </c>
      <c r="Q13">
        <v>-153.69999999999999</v>
      </c>
      <c r="R13">
        <v>-153.6</v>
      </c>
      <c r="S13">
        <v>0.73399999999999999</v>
      </c>
      <c r="T13">
        <v>2.5525008738612001</v>
      </c>
      <c r="U13">
        <v>83</v>
      </c>
      <c r="V13">
        <v>70</v>
      </c>
      <c r="W13">
        <v>16.782029700459901</v>
      </c>
      <c r="X13">
        <v>0.42337997999999999</v>
      </c>
      <c r="Y13">
        <f t="shared" si="0"/>
        <v>4.4000000000000004</v>
      </c>
    </row>
    <row r="14" spans="1:25" x14ac:dyDescent="0.35">
      <c r="A14" s="1">
        <v>46125</v>
      </c>
      <c r="B14">
        <v>0</v>
      </c>
      <c r="C14">
        <v>1.9</v>
      </c>
      <c r="D14">
        <v>0</v>
      </c>
      <c r="E14">
        <v>2.9</v>
      </c>
      <c r="F14">
        <v>0.7</v>
      </c>
      <c r="G14">
        <v>1324.1</v>
      </c>
      <c r="H14">
        <v>1334.7</v>
      </c>
      <c r="I14">
        <v>-10.6</v>
      </c>
      <c r="J14">
        <v>-1</v>
      </c>
      <c r="K14">
        <v>0</v>
      </c>
      <c r="L14">
        <v>7.3120000000000003</v>
      </c>
      <c r="M14">
        <v>-153.6</v>
      </c>
      <c r="N14">
        <v>-153.5</v>
      </c>
      <c r="O14">
        <v>0.75600000000000001</v>
      </c>
      <c r="P14">
        <v>7.2809999999999997</v>
      </c>
      <c r="Q14">
        <v>-153.5</v>
      </c>
      <c r="R14">
        <v>-153.4</v>
      </c>
      <c r="S14">
        <v>0.755</v>
      </c>
      <c r="T14">
        <v>2.5592623449773102</v>
      </c>
      <c r="U14">
        <v>83</v>
      </c>
      <c r="V14">
        <v>70</v>
      </c>
      <c r="W14">
        <v>16.784105634299902</v>
      </c>
      <c r="X14">
        <v>0.42302199000000001</v>
      </c>
      <c r="Y14">
        <f t="shared" si="0"/>
        <v>5.5</v>
      </c>
    </row>
    <row r="15" spans="1:25" x14ac:dyDescent="0.35">
      <c r="A15" s="1">
        <v>46126</v>
      </c>
      <c r="B15">
        <v>0</v>
      </c>
      <c r="C15">
        <v>0</v>
      </c>
      <c r="D15">
        <v>0</v>
      </c>
      <c r="E15">
        <v>3.3</v>
      </c>
      <c r="F15">
        <v>1</v>
      </c>
      <c r="G15">
        <v>1319.8</v>
      </c>
      <c r="H15">
        <v>1330.7</v>
      </c>
      <c r="I15">
        <v>-10.9</v>
      </c>
      <c r="J15">
        <v>-1</v>
      </c>
      <c r="K15">
        <v>0</v>
      </c>
      <c r="L15">
        <v>7.2830000000000004</v>
      </c>
      <c r="M15">
        <v>-153.5</v>
      </c>
      <c r="N15">
        <v>-153.5</v>
      </c>
      <c r="O15">
        <v>0.76</v>
      </c>
      <c r="P15">
        <v>7.26</v>
      </c>
      <c r="Q15">
        <v>-153.5</v>
      </c>
      <c r="R15">
        <v>-153.4</v>
      </c>
      <c r="S15">
        <v>0.76</v>
      </c>
      <c r="T15">
        <v>2.5684476215494301</v>
      </c>
      <c r="U15">
        <v>83</v>
      </c>
      <c r="V15">
        <v>70</v>
      </c>
      <c r="W15">
        <v>16.786484105259898</v>
      </c>
      <c r="X15">
        <v>0.42307063</v>
      </c>
      <c r="Y15">
        <f t="shared" si="0"/>
        <v>4.3</v>
      </c>
    </row>
    <row r="16" spans="1:25" x14ac:dyDescent="0.35">
      <c r="A16" s="1">
        <v>46127</v>
      </c>
      <c r="B16">
        <v>0</v>
      </c>
      <c r="C16">
        <v>0</v>
      </c>
      <c r="D16">
        <v>0</v>
      </c>
      <c r="E16">
        <v>3.4</v>
      </c>
      <c r="F16">
        <v>0.8</v>
      </c>
      <c r="G16">
        <v>1315.6</v>
      </c>
      <c r="H16">
        <v>1325.9</v>
      </c>
      <c r="I16">
        <v>-10.3</v>
      </c>
      <c r="J16">
        <v>-1</v>
      </c>
      <c r="K16">
        <v>0</v>
      </c>
      <c r="L16">
        <v>7.2519999999999998</v>
      </c>
      <c r="M16">
        <v>-153.5</v>
      </c>
      <c r="N16">
        <v>-153.5</v>
      </c>
      <c r="O16">
        <v>0.754</v>
      </c>
      <c r="P16">
        <v>7.2320000000000002</v>
      </c>
      <c r="Q16">
        <v>-153.5</v>
      </c>
      <c r="R16">
        <v>-153.4</v>
      </c>
      <c r="S16">
        <v>0.753</v>
      </c>
      <c r="T16">
        <v>2.5762904201099399</v>
      </c>
      <c r="U16">
        <v>83</v>
      </c>
      <c r="V16">
        <v>70</v>
      </c>
      <c r="W16">
        <v>16.788910703599999</v>
      </c>
      <c r="X16">
        <v>0.42311940999999997</v>
      </c>
      <c r="Y16">
        <f t="shared" si="0"/>
        <v>4.2</v>
      </c>
    </row>
    <row r="17" spans="1:25" x14ac:dyDescent="0.35">
      <c r="A17" s="1">
        <v>46128</v>
      </c>
      <c r="B17">
        <v>0</v>
      </c>
      <c r="C17">
        <v>0</v>
      </c>
      <c r="D17">
        <v>0</v>
      </c>
      <c r="E17">
        <v>3.4</v>
      </c>
      <c r="F17">
        <v>0.8</v>
      </c>
      <c r="G17">
        <v>1311.4</v>
      </c>
      <c r="H17">
        <v>1323.7</v>
      </c>
      <c r="I17">
        <v>-12.3</v>
      </c>
      <c r="J17">
        <v>-1</v>
      </c>
      <c r="K17">
        <v>0</v>
      </c>
      <c r="L17">
        <v>7.2389999999999999</v>
      </c>
      <c r="M17">
        <v>-153.5</v>
      </c>
      <c r="N17">
        <v>-153.5</v>
      </c>
      <c r="O17">
        <v>0.75900000000000001</v>
      </c>
      <c r="P17">
        <v>7.218</v>
      </c>
      <c r="Q17">
        <v>-153.4</v>
      </c>
      <c r="R17">
        <v>-153.4</v>
      </c>
      <c r="S17">
        <v>0.75900000000000001</v>
      </c>
      <c r="T17">
        <v>2.58499873639856</v>
      </c>
      <c r="U17">
        <v>83</v>
      </c>
      <c r="V17">
        <v>70</v>
      </c>
      <c r="W17">
        <v>16.791291190439999</v>
      </c>
      <c r="X17">
        <v>0.42316784000000002</v>
      </c>
      <c r="Y17">
        <f t="shared" si="0"/>
        <v>4.2</v>
      </c>
    </row>
    <row r="18" spans="1:25" x14ac:dyDescent="0.35">
      <c r="A18" s="1">
        <v>46129</v>
      </c>
      <c r="B18">
        <v>0</v>
      </c>
      <c r="C18">
        <v>2.5</v>
      </c>
      <c r="D18">
        <v>0</v>
      </c>
      <c r="E18">
        <v>3.4</v>
      </c>
      <c r="F18">
        <v>0.8</v>
      </c>
      <c r="G18">
        <v>1304.7</v>
      </c>
      <c r="H18">
        <v>1316.7</v>
      </c>
      <c r="I18">
        <v>-12</v>
      </c>
      <c r="J18">
        <v>-1</v>
      </c>
      <c r="K18">
        <v>0</v>
      </c>
      <c r="L18">
        <v>7.23</v>
      </c>
      <c r="M18">
        <v>-151.6</v>
      </c>
      <c r="N18">
        <v>-153.30000000000001</v>
      </c>
      <c r="O18">
        <v>0.77600000000000002</v>
      </c>
      <c r="P18">
        <v>7.1580000000000004</v>
      </c>
      <c r="Q18">
        <v>-150.9</v>
      </c>
      <c r="R18">
        <v>-153.19999999999999</v>
      </c>
      <c r="S18">
        <v>0.77600000000000002</v>
      </c>
      <c r="T18">
        <v>2.5935550948362698</v>
      </c>
      <c r="U18">
        <v>83</v>
      </c>
      <c r="V18">
        <v>70</v>
      </c>
      <c r="W18">
        <v>16.793657650699998</v>
      </c>
      <c r="X18">
        <v>0.42281730000000001</v>
      </c>
      <c r="Y18">
        <f t="shared" si="0"/>
        <v>6.7</v>
      </c>
    </row>
    <row r="19" spans="1:25" x14ac:dyDescent="0.35">
      <c r="A19" s="1">
        <v>46130</v>
      </c>
      <c r="B19">
        <v>0</v>
      </c>
      <c r="C19">
        <v>10.4</v>
      </c>
      <c r="D19">
        <v>0</v>
      </c>
      <c r="E19">
        <v>3.1</v>
      </c>
      <c r="F19">
        <v>0.4</v>
      </c>
      <c r="G19">
        <v>1290.8</v>
      </c>
      <c r="H19">
        <v>1302.2</v>
      </c>
      <c r="I19">
        <v>-11.4</v>
      </c>
      <c r="J19">
        <v>-1</v>
      </c>
      <c r="K19">
        <v>0</v>
      </c>
      <c r="L19">
        <v>7.2130000000000001</v>
      </c>
      <c r="M19">
        <v>-151.19999999999999</v>
      </c>
      <c r="N19">
        <v>-153.1</v>
      </c>
      <c r="O19">
        <v>0.86599999999999999</v>
      </c>
      <c r="P19">
        <v>7.02</v>
      </c>
      <c r="Q19">
        <v>-152.30000000000001</v>
      </c>
      <c r="R19">
        <v>-153</v>
      </c>
      <c r="S19">
        <v>0.86799999999999999</v>
      </c>
      <c r="T19">
        <v>2.6010511447293898</v>
      </c>
      <c r="U19">
        <v>83</v>
      </c>
      <c r="V19">
        <v>70</v>
      </c>
      <c r="W19">
        <v>16.795673446459901</v>
      </c>
      <c r="X19">
        <v>0.42246089999999997</v>
      </c>
      <c r="Y19">
        <f t="shared" si="0"/>
        <v>13.9</v>
      </c>
    </row>
    <row r="20" spans="1:25" x14ac:dyDescent="0.35">
      <c r="A20" s="1">
        <v>46131</v>
      </c>
      <c r="B20">
        <v>0</v>
      </c>
      <c r="C20">
        <v>21.7</v>
      </c>
      <c r="D20">
        <v>0</v>
      </c>
      <c r="E20">
        <v>3.4</v>
      </c>
      <c r="F20">
        <v>0</v>
      </c>
      <c r="G20">
        <v>1265.7</v>
      </c>
      <c r="H20">
        <v>1279.3</v>
      </c>
      <c r="I20">
        <v>-13.6</v>
      </c>
      <c r="J20">
        <v>-1</v>
      </c>
      <c r="K20">
        <v>0</v>
      </c>
      <c r="L20">
        <v>7.218</v>
      </c>
      <c r="M20">
        <v>-149.6</v>
      </c>
      <c r="N20">
        <v>-152.80000000000001</v>
      </c>
      <c r="O20">
        <v>0.84699999999999998</v>
      </c>
      <c r="P20">
        <v>6.7830000000000004</v>
      </c>
      <c r="Q20">
        <v>-152.1</v>
      </c>
      <c r="R20">
        <v>-152.69999999999999</v>
      </c>
      <c r="S20">
        <v>0.84799999999999998</v>
      </c>
      <c r="T20">
        <v>2.60799503947606</v>
      </c>
      <c r="U20">
        <v>82</v>
      </c>
      <c r="V20">
        <v>70</v>
      </c>
      <c r="W20">
        <v>16.797677231519899</v>
      </c>
      <c r="X20">
        <v>0.42190712000000002</v>
      </c>
      <c r="Y20">
        <f t="shared" si="0"/>
        <v>25.099999999999998</v>
      </c>
    </row>
    <row r="21" spans="1:25" x14ac:dyDescent="0.35">
      <c r="A21" s="1">
        <v>46132</v>
      </c>
      <c r="B21">
        <v>0</v>
      </c>
      <c r="C21">
        <v>17.600000000000001</v>
      </c>
      <c r="D21">
        <v>0</v>
      </c>
      <c r="E21">
        <v>3.2</v>
      </c>
      <c r="F21">
        <v>0</v>
      </c>
      <c r="G21">
        <v>1244.9000000000001</v>
      </c>
      <c r="H21">
        <v>1259</v>
      </c>
      <c r="I21">
        <v>-14.1</v>
      </c>
      <c r="J21">
        <v>-1</v>
      </c>
      <c r="K21">
        <v>0</v>
      </c>
      <c r="L21">
        <v>7.0060000000000002</v>
      </c>
      <c r="M21">
        <v>-149.69999999999999</v>
      </c>
      <c r="N21">
        <v>-152.4</v>
      </c>
      <c r="O21">
        <v>0.89900000000000002</v>
      </c>
      <c r="P21">
        <v>6.7839999999999998</v>
      </c>
      <c r="Q21">
        <v>-147.5</v>
      </c>
      <c r="R21">
        <v>-152.4</v>
      </c>
      <c r="S21">
        <v>0.9</v>
      </c>
      <c r="T21">
        <v>2.61526108709465</v>
      </c>
      <c r="U21">
        <v>82</v>
      </c>
      <c r="V21">
        <v>70</v>
      </c>
      <c r="W21">
        <v>16.7996088677999</v>
      </c>
      <c r="X21">
        <v>0.42125011000000001</v>
      </c>
      <c r="Y21">
        <f t="shared" si="0"/>
        <v>20.8</v>
      </c>
    </row>
    <row r="22" spans="1:25" x14ac:dyDescent="0.35">
      <c r="A22" s="1">
        <v>46133</v>
      </c>
      <c r="B22">
        <v>0</v>
      </c>
      <c r="C22">
        <v>22.3</v>
      </c>
      <c r="D22">
        <v>0</v>
      </c>
      <c r="E22">
        <v>4.4000000000000004</v>
      </c>
      <c r="F22">
        <v>22.2</v>
      </c>
      <c r="G22">
        <v>1196</v>
      </c>
      <c r="H22">
        <v>1216.3</v>
      </c>
      <c r="I22">
        <v>-20.3</v>
      </c>
      <c r="J22">
        <v>-1</v>
      </c>
      <c r="K22">
        <v>0</v>
      </c>
      <c r="L22">
        <v>6.556</v>
      </c>
      <c r="M22">
        <v>-147.69999999999999</v>
      </c>
      <c r="N22">
        <v>-152.1</v>
      </c>
      <c r="O22">
        <v>0.92800000000000005</v>
      </c>
      <c r="P22">
        <v>6.7809999999999997</v>
      </c>
      <c r="Q22">
        <v>-146.1</v>
      </c>
      <c r="R22">
        <v>-152.1</v>
      </c>
      <c r="S22">
        <v>0.92800000000000005</v>
      </c>
      <c r="T22">
        <v>2.6748829692777298</v>
      </c>
      <c r="U22">
        <v>82</v>
      </c>
      <c r="V22">
        <v>70</v>
      </c>
      <c r="W22">
        <v>16.816490737899901</v>
      </c>
      <c r="X22">
        <v>0.42099964000000001</v>
      </c>
      <c r="Y22">
        <f t="shared" si="0"/>
        <v>48.900000000000006</v>
      </c>
    </row>
    <row r="23" spans="1:25" x14ac:dyDescent="0.35">
      <c r="A23" s="1">
        <v>46134</v>
      </c>
      <c r="B23">
        <v>0</v>
      </c>
      <c r="C23">
        <v>21.6</v>
      </c>
      <c r="D23">
        <v>0</v>
      </c>
      <c r="E23">
        <v>4</v>
      </c>
      <c r="F23">
        <v>4.5999999999999996</v>
      </c>
      <c r="G23">
        <v>1165.8</v>
      </c>
      <c r="H23">
        <v>1188.2</v>
      </c>
      <c r="I23">
        <v>-22.4</v>
      </c>
      <c r="J23">
        <v>-1</v>
      </c>
      <c r="K23">
        <v>0</v>
      </c>
      <c r="L23">
        <v>6.2859999999999996</v>
      </c>
      <c r="M23">
        <v>-144.19999999999999</v>
      </c>
      <c r="N23">
        <v>-151.9</v>
      </c>
      <c r="O23">
        <v>0.95</v>
      </c>
      <c r="P23">
        <v>6.7729999999999997</v>
      </c>
      <c r="Q23">
        <v>-145.6</v>
      </c>
      <c r="R23">
        <v>-151.9</v>
      </c>
      <c r="S23">
        <v>0.95099999999999996</v>
      </c>
      <c r="T23">
        <v>2.6953211024182702</v>
      </c>
      <c r="U23">
        <v>82</v>
      </c>
      <c r="V23">
        <v>70</v>
      </c>
      <c r="W23">
        <v>16.822191492439998</v>
      </c>
      <c r="X23">
        <v>0.42072121000000001</v>
      </c>
      <c r="Y23">
        <f t="shared" si="0"/>
        <v>30.200000000000003</v>
      </c>
    </row>
    <row r="24" spans="1:25" x14ac:dyDescent="0.35">
      <c r="A24" s="1">
        <v>46135</v>
      </c>
      <c r="B24">
        <v>0</v>
      </c>
      <c r="C24">
        <v>3.2</v>
      </c>
      <c r="D24">
        <v>0</v>
      </c>
      <c r="E24">
        <v>3.6</v>
      </c>
      <c r="F24">
        <v>0.1</v>
      </c>
      <c r="G24">
        <v>1158.9000000000001</v>
      </c>
      <c r="H24">
        <v>1180.7</v>
      </c>
      <c r="I24">
        <v>-21.8</v>
      </c>
      <c r="J24">
        <v>-1</v>
      </c>
      <c r="K24">
        <v>0</v>
      </c>
      <c r="L24">
        <v>6.274</v>
      </c>
      <c r="M24">
        <v>-137.6</v>
      </c>
      <c r="N24">
        <v>-151.80000000000001</v>
      </c>
      <c r="O24">
        <v>0.96099999999999997</v>
      </c>
      <c r="P24">
        <v>6.7140000000000004</v>
      </c>
      <c r="Q24">
        <v>-143.30000000000001</v>
      </c>
      <c r="R24">
        <v>-151.69999999999999</v>
      </c>
      <c r="S24">
        <v>0.96</v>
      </c>
      <c r="T24">
        <v>2.7042780486774398</v>
      </c>
      <c r="U24">
        <v>82</v>
      </c>
      <c r="V24">
        <v>70</v>
      </c>
      <c r="W24">
        <v>16.824656138759899</v>
      </c>
      <c r="X24">
        <v>0.42047261000000002</v>
      </c>
      <c r="Y24">
        <f t="shared" si="0"/>
        <v>6.9</v>
      </c>
    </row>
    <row r="25" spans="1:25" x14ac:dyDescent="0.35">
      <c r="A25" s="1">
        <v>46136</v>
      </c>
      <c r="B25">
        <v>0</v>
      </c>
      <c r="C25">
        <v>0</v>
      </c>
      <c r="D25">
        <v>0</v>
      </c>
      <c r="E25">
        <v>4.9000000000000004</v>
      </c>
      <c r="F25">
        <v>7.9</v>
      </c>
      <c r="G25">
        <v>1146.0999999999999</v>
      </c>
      <c r="H25">
        <v>1159.5999999999999</v>
      </c>
      <c r="I25">
        <v>-13.5</v>
      </c>
      <c r="J25">
        <v>-1</v>
      </c>
      <c r="K25">
        <v>0</v>
      </c>
      <c r="L25">
        <v>6.149</v>
      </c>
      <c r="M25">
        <v>-146.80000000000001</v>
      </c>
      <c r="N25">
        <v>-152.6</v>
      </c>
      <c r="O25">
        <v>0.81699999999999995</v>
      </c>
      <c r="P25">
        <v>6.5750000000000002</v>
      </c>
      <c r="Q25">
        <v>-149.4</v>
      </c>
      <c r="R25">
        <v>-152.5</v>
      </c>
      <c r="S25">
        <v>0.81699999999999995</v>
      </c>
      <c r="T25">
        <v>2.7351213663024501</v>
      </c>
      <c r="U25">
        <v>82</v>
      </c>
      <c r="V25">
        <v>70</v>
      </c>
      <c r="W25">
        <v>16.8334126718599</v>
      </c>
      <c r="X25">
        <v>0.42222850000000001</v>
      </c>
      <c r="Y25">
        <f t="shared" si="0"/>
        <v>12.8</v>
      </c>
    </row>
    <row r="26" spans="1:25" x14ac:dyDescent="0.35">
      <c r="A26" s="1">
        <v>46137</v>
      </c>
      <c r="B26">
        <v>0</v>
      </c>
      <c r="C26">
        <v>0</v>
      </c>
      <c r="D26">
        <v>0</v>
      </c>
      <c r="E26">
        <v>4.5</v>
      </c>
      <c r="F26">
        <v>0.6</v>
      </c>
      <c r="G26">
        <v>1141</v>
      </c>
      <c r="H26">
        <v>1147</v>
      </c>
      <c r="I26">
        <v>-6</v>
      </c>
      <c r="J26">
        <v>-1</v>
      </c>
      <c r="K26">
        <v>0</v>
      </c>
      <c r="L26">
        <v>6.0810000000000004</v>
      </c>
      <c r="M26">
        <v>-139.9</v>
      </c>
      <c r="N26">
        <v>-152.80000000000001</v>
      </c>
      <c r="O26">
        <v>0.82099999999999995</v>
      </c>
      <c r="P26">
        <v>6.5030000000000001</v>
      </c>
      <c r="Q26">
        <v>-143.30000000000001</v>
      </c>
      <c r="R26">
        <v>-152.80000000000001</v>
      </c>
      <c r="S26">
        <v>0.82099999999999995</v>
      </c>
      <c r="T26">
        <v>2.7476030907834801</v>
      </c>
      <c r="U26">
        <v>82</v>
      </c>
      <c r="V26">
        <v>70</v>
      </c>
      <c r="W26">
        <v>16.8369573648399</v>
      </c>
      <c r="X26">
        <v>0.4227997</v>
      </c>
      <c r="Y26">
        <f t="shared" si="0"/>
        <v>5.0999999999999996</v>
      </c>
    </row>
    <row r="27" spans="1:25" x14ac:dyDescent="0.35">
      <c r="A27" s="1">
        <v>46138</v>
      </c>
      <c r="B27">
        <v>0</v>
      </c>
      <c r="C27">
        <v>0</v>
      </c>
      <c r="D27">
        <v>0</v>
      </c>
      <c r="E27">
        <v>3.6</v>
      </c>
      <c r="F27">
        <v>0.1</v>
      </c>
      <c r="G27">
        <v>1137.3</v>
      </c>
      <c r="H27">
        <v>1142.8</v>
      </c>
      <c r="I27">
        <v>-5.5</v>
      </c>
      <c r="J27">
        <v>-1</v>
      </c>
      <c r="K27">
        <v>0</v>
      </c>
      <c r="L27">
        <v>6.0629999999999997</v>
      </c>
      <c r="M27">
        <v>-136.9</v>
      </c>
      <c r="N27">
        <v>-152.80000000000001</v>
      </c>
      <c r="O27">
        <v>0.83599999999999997</v>
      </c>
      <c r="P27">
        <v>6.48</v>
      </c>
      <c r="Q27">
        <v>-141.30000000000001</v>
      </c>
      <c r="R27">
        <v>-152.69999999999999</v>
      </c>
      <c r="S27">
        <v>0.83599999999999997</v>
      </c>
      <c r="T27">
        <v>2.7569669330486501</v>
      </c>
      <c r="U27">
        <v>82</v>
      </c>
      <c r="V27">
        <v>70</v>
      </c>
      <c r="W27">
        <v>16.839534223799902</v>
      </c>
      <c r="X27">
        <v>0.42274906000000001</v>
      </c>
      <c r="Y27">
        <f t="shared" si="0"/>
        <v>3.7</v>
      </c>
    </row>
    <row r="28" spans="1:25" x14ac:dyDescent="0.35">
      <c r="A28" s="1">
        <v>46139</v>
      </c>
      <c r="B28">
        <v>0</v>
      </c>
      <c r="C28">
        <v>0</v>
      </c>
      <c r="D28">
        <v>0</v>
      </c>
      <c r="E28">
        <v>3.6</v>
      </c>
      <c r="F28">
        <v>0.4</v>
      </c>
      <c r="G28">
        <v>1133.3</v>
      </c>
      <c r="H28">
        <v>1139.9000000000001</v>
      </c>
      <c r="I28">
        <v>-6.6</v>
      </c>
      <c r="J28">
        <v>-1</v>
      </c>
      <c r="K28">
        <v>0</v>
      </c>
      <c r="L28">
        <v>6.0460000000000003</v>
      </c>
      <c r="M28">
        <v>-140.4</v>
      </c>
      <c r="N28">
        <v>-152.69999999999999</v>
      </c>
      <c r="O28">
        <v>0.83</v>
      </c>
      <c r="P28">
        <v>6.4690000000000003</v>
      </c>
      <c r="Q28">
        <v>-144.30000000000001</v>
      </c>
      <c r="R28">
        <v>-152.69999999999999</v>
      </c>
      <c r="S28">
        <v>0.83099999999999996</v>
      </c>
      <c r="T28">
        <v>2.7672930285687198</v>
      </c>
      <c r="U28">
        <v>82</v>
      </c>
      <c r="V28">
        <v>70</v>
      </c>
      <c r="W28">
        <v>16.8422773858399</v>
      </c>
      <c r="X28">
        <v>0.42270956999999998</v>
      </c>
      <c r="Y28">
        <f t="shared" si="0"/>
        <v>4</v>
      </c>
    </row>
    <row r="29" spans="1:25" x14ac:dyDescent="0.35">
      <c r="A29" s="1">
        <v>46140</v>
      </c>
      <c r="B29">
        <v>0</v>
      </c>
      <c r="C29">
        <v>0</v>
      </c>
      <c r="D29">
        <v>0</v>
      </c>
      <c r="E29">
        <v>3.7</v>
      </c>
      <c r="F29">
        <v>0.6</v>
      </c>
      <c r="G29">
        <v>1129</v>
      </c>
      <c r="H29">
        <v>1134.5999999999999</v>
      </c>
      <c r="I29">
        <v>-5.6</v>
      </c>
      <c r="J29">
        <v>-1</v>
      </c>
      <c r="K29">
        <v>0</v>
      </c>
      <c r="L29">
        <v>6.0179999999999998</v>
      </c>
      <c r="M29">
        <v>-140.69999999999999</v>
      </c>
      <c r="N29">
        <v>-152.80000000000001</v>
      </c>
      <c r="O29">
        <v>0.83799999999999997</v>
      </c>
      <c r="P29">
        <v>6.44</v>
      </c>
      <c r="Q29">
        <v>-146.19999999999999</v>
      </c>
      <c r="R29">
        <v>-152.69999999999999</v>
      </c>
      <c r="S29">
        <v>0.83799999999999997</v>
      </c>
      <c r="T29">
        <v>2.7780194762805501</v>
      </c>
      <c r="U29">
        <v>82</v>
      </c>
      <c r="V29">
        <v>70</v>
      </c>
      <c r="W29">
        <v>16.845403297299999</v>
      </c>
      <c r="X29">
        <v>0.42286794999999999</v>
      </c>
      <c r="Y29">
        <f t="shared" si="0"/>
        <v>4.3</v>
      </c>
    </row>
    <row r="30" spans="1:25" x14ac:dyDescent="0.35">
      <c r="A30" s="1">
        <v>46141</v>
      </c>
      <c r="B30">
        <v>0</v>
      </c>
      <c r="C30">
        <v>0</v>
      </c>
      <c r="D30">
        <v>0</v>
      </c>
      <c r="E30">
        <v>4.3</v>
      </c>
      <c r="F30">
        <v>0.8</v>
      </c>
      <c r="G30">
        <v>1123.9000000000001</v>
      </c>
      <c r="H30">
        <v>1135.3</v>
      </c>
      <c r="I30">
        <v>-11.4</v>
      </c>
      <c r="J30">
        <v>-1</v>
      </c>
      <c r="K30">
        <v>0</v>
      </c>
      <c r="L30">
        <v>6.0179999999999998</v>
      </c>
      <c r="M30">
        <v>-139.30000000000001</v>
      </c>
      <c r="N30">
        <v>-152.9</v>
      </c>
      <c r="O30">
        <v>0.80100000000000005</v>
      </c>
      <c r="P30">
        <v>6.4379999999999997</v>
      </c>
      <c r="Q30">
        <v>-143.6</v>
      </c>
      <c r="R30">
        <v>-152.9</v>
      </c>
      <c r="S30">
        <v>0.80200000000000005</v>
      </c>
      <c r="T30">
        <v>2.79108296780637</v>
      </c>
      <c r="U30">
        <v>82</v>
      </c>
      <c r="V30">
        <v>70</v>
      </c>
      <c r="W30">
        <v>16.848988054139902</v>
      </c>
      <c r="X30">
        <v>0.42324253000000001</v>
      </c>
      <c r="Y30">
        <f t="shared" si="0"/>
        <v>5.0999999999999996</v>
      </c>
    </row>
    <row r="31" spans="1:25" x14ac:dyDescent="0.35">
      <c r="A31" s="1">
        <v>46142</v>
      </c>
      <c r="B31">
        <v>0</v>
      </c>
      <c r="C31">
        <v>0</v>
      </c>
      <c r="D31">
        <v>0</v>
      </c>
      <c r="E31">
        <v>5.4</v>
      </c>
      <c r="F31">
        <v>0.8</v>
      </c>
      <c r="G31">
        <v>1117.7</v>
      </c>
      <c r="H31">
        <v>1126.5999999999999</v>
      </c>
      <c r="I31">
        <v>-8.9</v>
      </c>
      <c r="J31">
        <v>-1</v>
      </c>
      <c r="K31">
        <v>0</v>
      </c>
      <c r="L31">
        <v>5.9690000000000003</v>
      </c>
      <c r="M31">
        <v>-139.30000000000001</v>
      </c>
      <c r="N31">
        <v>-153.19999999999999</v>
      </c>
      <c r="O31">
        <v>0.76700000000000002</v>
      </c>
      <c r="P31">
        <v>6.3869999999999996</v>
      </c>
      <c r="Q31">
        <v>-142.6</v>
      </c>
      <c r="R31">
        <v>-153.1</v>
      </c>
      <c r="S31">
        <v>0.76800000000000002</v>
      </c>
      <c r="T31">
        <v>2.8064025350219</v>
      </c>
      <c r="U31">
        <v>82</v>
      </c>
      <c r="V31">
        <v>70</v>
      </c>
      <c r="W31">
        <v>16.853544676759899</v>
      </c>
      <c r="X31">
        <v>0.42382786</v>
      </c>
      <c r="Y31">
        <f t="shared" si="0"/>
        <v>6.2</v>
      </c>
    </row>
    <row r="32" spans="1:25" x14ac:dyDescent="0.35">
      <c r="A32" s="1">
        <v>46143</v>
      </c>
      <c r="B32">
        <v>0</v>
      </c>
      <c r="C32">
        <v>0</v>
      </c>
      <c r="D32">
        <v>0</v>
      </c>
      <c r="E32">
        <v>3.5</v>
      </c>
      <c r="F32">
        <v>0</v>
      </c>
      <c r="G32">
        <v>1114.2</v>
      </c>
      <c r="H32">
        <v>1120.5999999999999</v>
      </c>
      <c r="I32">
        <v>-6.4</v>
      </c>
      <c r="J32">
        <v>-1</v>
      </c>
      <c r="K32">
        <v>0</v>
      </c>
      <c r="L32">
        <v>5.9450000000000003</v>
      </c>
      <c r="M32">
        <v>-141.6</v>
      </c>
      <c r="N32">
        <v>-153.1</v>
      </c>
      <c r="O32">
        <v>0.79800000000000004</v>
      </c>
      <c r="P32">
        <v>6.3540000000000001</v>
      </c>
      <c r="Q32">
        <v>-148.80000000000001</v>
      </c>
      <c r="R32">
        <v>-153</v>
      </c>
      <c r="S32">
        <v>0.79800000000000004</v>
      </c>
      <c r="T32">
        <v>2.8163301334666899</v>
      </c>
      <c r="U32">
        <v>82</v>
      </c>
      <c r="V32">
        <v>70</v>
      </c>
      <c r="W32">
        <v>16.856005291319899</v>
      </c>
      <c r="X32">
        <v>0.42367940999999998</v>
      </c>
      <c r="Y32">
        <f t="shared" si="0"/>
        <v>3.5</v>
      </c>
    </row>
    <row r="33" spans="1:25" x14ac:dyDescent="0.35">
      <c r="A33" s="1">
        <v>46144</v>
      </c>
      <c r="B33">
        <v>0</v>
      </c>
      <c r="C33">
        <v>0</v>
      </c>
      <c r="D33">
        <v>0</v>
      </c>
      <c r="E33">
        <v>3.4</v>
      </c>
      <c r="F33">
        <v>0</v>
      </c>
      <c r="G33">
        <v>1110.8</v>
      </c>
      <c r="H33">
        <v>1117.7</v>
      </c>
      <c r="I33">
        <v>-6.9</v>
      </c>
      <c r="J33">
        <v>-1</v>
      </c>
      <c r="K33">
        <v>0</v>
      </c>
      <c r="L33">
        <v>5.9320000000000004</v>
      </c>
      <c r="M33">
        <v>-137.69999999999999</v>
      </c>
      <c r="N33">
        <v>-153.1</v>
      </c>
      <c r="O33">
        <v>0.79300000000000004</v>
      </c>
      <c r="P33">
        <v>6.3390000000000004</v>
      </c>
      <c r="Q33">
        <v>-142.80000000000001</v>
      </c>
      <c r="R33">
        <v>-153</v>
      </c>
      <c r="S33">
        <v>0.79400000000000004</v>
      </c>
      <c r="T33">
        <v>2.8253037542838699</v>
      </c>
      <c r="U33">
        <v>82</v>
      </c>
      <c r="V33">
        <v>70</v>
      </c>
      <c r="W33">
        <v>16.858469937639999</v>
      </c>
      <c r="X33">
        <v>0.42372947999999999</v>
      </c>
      <c r="Y33">
        <f t="shared" si="0"/>
        <v>3.4</v>
      </c>
    </row>
    <row r="34" spans="1:25" x14ac:dyDescent="0.35">
      <c r="A34" s="1">
        <v>46145</v>
      </c>
      <c r="B34">
        <v>0</v>
      </c>
      <c r="C34">
        <v>0</v>
      </c>
      <c r="D34">
        <v>0</v>
      </c>
      <c r="E34">
        <v>3.4</v>
      </c>
      <c r="F34">
        <v>0</v>
      </c>
      <c r="G34">
        <v>1107.4000000000001</v>
      </c>
      <c r="H34">
        <v>1113.5999999999999</v>
      </c>
      <c r="I34">
        <v>-6.2</v>
      </c>
      <c r="J34">
        <v>-1</v>
      </c>
      <c r="K34">
        <v>0</v>
      </c>
      <c r="L34">
        <v>5.91</v>
      </c>
      <c r="M34">
        <v>-135.1</v>
      </c>
      <c r="N34">
        <v>-153</v>
      </c>
      <c r="O34">
        <v>0.79300000000000004</v>
      </c>
      <c r="P34">
        <v>6.3230000000000004</v>
      </c>
      <c r="Q34">
        <v>-139.6</v>
      </c>
      <c r="R34">
        <v>-153</v>
      </c>
      <c r="S34">
        <v>0.79400000000000004</v>
      </c>
      <c r="T34">
        <v>2.8337239158790499</v>
      </c>
      <c r="U34">
        <v>82</v>
      </c>
      <c r="V34">
        <v>70</v>
      </c>
      <c r="W34">
        <v>16.8610508283599</v>
      </c>
      <c r="X34">
        <v>0.42368549</v>
      </c>
      <c r="Y34">
        <f t="shared" si="0"/>
        <v>3.4</v>
      </c>
    </row>
    <row r="35" spans="1:25" x14ac:dyDescent="0.35">
      <c r="A35" s="1">
        <v>46146</v>
      </c>
      <c r="B35">
        <v>0</v>
      </c>
      <c r="C35">
        <v>0</v>
      </c>
      <c r="D35">
        <v>0</v>
      </c>
      <c r="E35">
        <v>4.0999999999999996</v>
      </c>
      <c r="F35">
        <v>0.1</v>
      </c>
      <c r="G35">
        <v>1103.2</v>
      </c>
      <c r="H35">
        <v>1111.2</v>
      </c>
      <c r="I35">
        <v>-8</v>
      </c>
      <c r="J35">
        <v>-1</v>
      </c>
      <c r="K35">
        <v>0</v>
      </c>
      <c r="L35">
        <v>5.8970000000000002</v>
      </c>
      <c r="M35">
        <v>-134.6</v>
      </c>
      <c r="N35">
        <v>-153.1</v>
      </c>
      <c r="O35">
        <v>0.78900000000000003</v>
      </c>
      <c r="P35">
        <v>6.3090000000000002</v>
      </c>
      <c r="Q35">
        <v>-138.69999999999999</v>
      </c>
      <c r="R35">
        <v>-153</v>
      </c>
      <c r="S35">
        <v>0.79</v>
      </c>
      <c r="T35">
        <v>2.8448045605917098</v>
      </c>
      <c r="U35">
        <v>81</v>
      </c>
      <c r="V35">
        <v>70</v>
      </c>
      <c r="W35">
        <v>16.8641606973599</v>
      </c>
      <c r="X35">
        <v>0.42384416000000003</v>
      </c>
      <c r="Y35">
        <f t="shared" si="0"/>
        <v>4.1999999999999993</v>
      </c>
    </row>
    <row r="36" spans="1:25" x14ac:dyDescent="0.35">
      <c r="A36" s="1">
        <v>46147</v>
      </c>
      <c r="B36">
        <v>0</v>
      </c>
      <c r="C36">
        <v>4.3</v>
      </c>
      <c r="D36">
        <v>0</v>
      </c>
      <c r="E36">
        <v>6.8</v>
      </c>
      <c r="F36">
        <v>0.2</v>
      </c>
      <c r="G36">
        <v>1091.9000000000001</v>
      </c>
      <c r="H36">
        <v>1105.5999999999999</v>
      </c>
      <c r="I36">
        <v>-13.7</v>
      </c>
      <c r="J36">
        <v>-1</v>
      </c>
      <c r="K36">
        <v>0</v>
      </c>
      <c r="L36">
        <v>5.8920000000000003</v>
      </c>
      <c r="M36">
        <v>-151.9</v>
      </c>
      <c r="N36">
        <v>-152.80000000000001</v>
      </c>
      <c r="O36">
        <v>0.83199999999999996</v>
      </c>
      <c r="P36">
        <v>6.2670000000000003</v>
      </c>
      <c r="Q36">
        <v>-152.5</v>
      </c>
      <c r="R36">
        <v>-152.69999999999999</v>
      </c>
      <c r="S36">
        <v>0.83399999999999996</v>
      </c>
      <c r="T36">
        <v>2.8636509198828999</v>
      </c>
      <c r="U36">
        <v>81</v>
      </c>
      <c r="V36">
        <v>70</v>
      </c>
      <c r="W36">
        <v>16.869484750119899</v>
      </c>
      <c r="X36">
        <v>0.42335585999999997</v>
      </c>
      <c r="Y36">
        <f t="shared" si="0"/>
        <v>11.299999999999999</v>
      </c>
    </row>
    <row r="37" spans="1:25" x14ac:dyDescent="0.35">
      <c r="A37" s="1">
        <v>46148</v>
      </c>
      <c r="B37">
        <v>0</v>
      </c>
      <c r="C37">
        <v>17.5</v>
      </c>
      <c r="D37">
        <v>0</v>
      </c>
      <c r="E37">
        <v>4</v>
      </c>
      <c r="F37">
        <v>0.2</v>
      </c>
      <c r="G37">
        <v>1070.2</v>
      </c>
      <c r="H37">
        <v>1082.9000000000001</v>
      </c>
      <c r="I37">
        <v>-12.7</v>
      </c>
      <c r="J37">
        <v>-1</v>
      </c>
      <c r="K37">
        <v>0</v>
      </c>
      <c r="L37">
        <v>5.8840000000000003</v>
      </c>
      <c r="M37">
        <v>-151.4</v>
      </c>
      <c r="N37">
        <v>-152.4</v>
      </c>
      <c r="O37">
        <v>0.88600000000000001</v>
      </c>
      <c r="P37">
        <v>6.07</v>
      </c>
      <c r="Q37">
        <v>-151.69999999999999</v>
      </c>
      <c r="R37">
        <v>-152.30000000000001</v>
      </c>
      <c r="S37">
        <v>0.88700000000000001</v>
      </c>
      <c r="T37">
        <v>2.87516906821548</v>
      </c>
      <c r="U37">
        <v>81</v>
      </c>
      <c r="V37">
        <v>70</v>
      </c>
      <c r="W37">
        <v>16.8727208583399</v>
      </c>
      <c r="X37">
        <v>0.42263067999999998</v>
      </c>
      <c r="Y37">
        <f t="shared" si="0"/>
        <v>21.7</v>
      </c>
    </row>
    <row r="38" spans="1:25" x14ac:dyDescent="0.35">
      <c r="A38" s="1">
        <v>46149</v>
      </c>
      <c r="B38">
        <v>0</v>
      </c>
      <c r="C38">
        <v>2.4</v>
      </c>
      <c r="D38">
        <v>0</v>
      </c>
      <c r="E38">
        <v>3.4</v>
      </c>
      <c r="F38">
        <v>0</v>
      </c>
      <c r="G38">
        <v>1064.4000000000001</v>
      </c>
      <c r="H38">
        <v>1128.7</v>
      </c>
      <c r="I38">
        <v>-64.3</v>
      </c>
      <c r="J38">
        <v>-1</v>
      </c>
      <c r="K38">
        <v>0</v>
      </c>
      <c r="L38">
        <v>5.9130000000000003</v>
      </c>
      <c r="M38">
        <v>-151.4</v>
      </c>
      <c r="N38">
        <v>-152.1</v>
      </c>
      <c r="O38">
        <v>0.92600000000000005</v>
      </c>
      <c r="P38">
        <v>6.5090000000000003</v>
      </c>
      <c r="Q38">
        <v>-151.5</v>
      </c>
      <c r="R38">
        <v>-152</v>
      </c>
      <c r="S38">
        <v>0.92600000000000005</v>
      </c>
      <c r="T38">
        <v>2.8845843238162598</v>
      </c>
      <c r="U38">
        <v>81</v>
      </c>
      <c r="V38">
        <v>70</v>
      </c>
      <c r="W38">
        <v>16.875339797039999</v>
      </c>
      <c r="X38">
        <v>0.42208799000000002</v>
      </c>
      <c r="Y38">
        <f t="shared" si="0"/>
        <v>5.8</v>
      </c>
    </row>
    <row r="39" spans="1:25" x14ac:dyDescent="0.35">
      <c r="A39" s="1">
        <v>46150</v>
      </c>
      <c r="B39">
        <v>0</v>
      </c>
      <c r="C39">
        <v>0</v>
      </c>
      <c r="D39">
        <v>0</v>
      </c>
      <c r="E39">
        <v>3.7</v>
      </c>
      <c r="F39">
        <v>0</v>
      </c>
      <c r="G39">
        <v>1060.7</v>
      </c>
      <c r="H39">
        <v>1071</v>
      </c>
      <c r="I39">
        <v>-10.3</v>
      </c>
      <c r="J39">
        <v>-1</v>
      </c>
      <c r="K39">
        <v>0</v>
      </c>
      <c r="L39">
        <v>5.8609999999999998</v>
      </c>
      <c r="M39">
        <v>-151</v>
      </c>
      <c r="N39">
        <v>-151.80000000000001</v>
      </c>
      <c r="O39">
        <v>0.94899999999999995</v>
      </c>
      <c r="P39">
        <v>6.0010000000000003</v>
      </c>
      <c r="Q39">
        <v>-151.1</v>
      </c>
      <c r="R39">
        <v>-151.80000000000001</v>
      </c>
      <c r="S39">
        <v>0.95</v>
      </c>
      <c r="T39">
        <v>2.8949898845542998</v>
      </c>
      <c r="U39">
        <v>81</v>
      </c>
      <c r="V39">
        <v>70</v>
      </c>
      <c r="W39">
        <v>16.8782392673399</v>
      </c>
      <c r="X39">
        <v>0.42165967999999998</v>
      </c>
      <c r="Y39">
        <f t="shared" si="0"/>
        <v>3.7</v>
      </c>
    </row>
    <row r="40" spans="1:25" x14ac:dyDescent="0.35">
      <c r="A40" s="1">
        <v>46151</v>
      </c>
      <c r="B40">
        <v>0</v>
      </c>
      <c r="C40">
        <v>0</v>
      </c>
      <c r="D40">
        <v>0</v>
      </c>
      <c r="E40">
        <v>5.0999999999999996</v>
      </c>
      <c r="F40">
        <v>0</v>
      </c>
      <c r="G40">
        <v>1055.5999999999999</v>
      </c>
      <c r="H40">
        <v>1068.3</v>
      </c>
      <c r="I40">
        <v>-12.7</v>
      </c>
      <c r="J40">
        <v>-1</v>
      </c>
      <c r="K40">
        <v>0</v>
      </c>
      <c r="L40">
        <v>5.8470000000000004</v>
      </c>
      <c r="M40">
        <v>-150.6</v>
      </c>
      <c r="N40">
        <v>-151.9</v>
      </c>
      <c r="O40">
        <v>0.93500000000000005</v>
      </c>
      <c r="P40">
        <v>5.9850000000000003</v>
      </c>
      <c r="Q40">
        <v>-150.9</v>
      </c>
      <c r="R40">
        <v>-151.80000000000001</v>
      </c>
      <c r="S40">
        <v>0.93500000000000005</v>
      </c>
      <c r="T40">
        <v>2.90922238609775</v>
      </c>
      <c r="U40">
        <v>81</v>
      </c>
      <c r="V40">
        <v>70</v>
      </c>
      <c r="W40">
        <v>16.882302943779901</v>
      </c>
      <c r="X40">
        <v>0.42183876999999997</v>
      </c>
      <c r="Y40">
        <f t="shared" si="0"/>
        <v>5.0999999999999996</v>
      </c>
    </row>
    <row r="41" spans="1:25" x14ac:dyDescent="0.35">
      <c r="A41" s="1">
        <v>46152</v>
      </c>
      <c r="B41">
        <v>0</v>
      </c>
      <c r="C41">
        <v>0</v>
      </c>
      <c r="D41">
        <v>0</v>
      </c>
      <c r="E41">
        <v>4.4000000000000004</v>
      </c>
      <c r="F41">
        <v>0</v>
      </c>
      <c r="G41">
        <v>1051.2</v>
      </c>
      <c r="H41">
        <v>1065</v>
      </c>
      <c r="I41">
        <v>-13.8</v>
      </c>
      <c r="J41">
        <v>-1</v>
      </c>
      <c r="K41">
        <v>0</v>
      </c>
      <c r="L41">
        <v>5.83</v>
      </c>
      <c r="M41">
        <v>-150.4</v>
      </c>
      <c r="N41">
        <v>-151.9</v>
      </c>
      <c r="O41">
        <v>0.93700000000000006</v>
      </c>
      <c r="P41">
        <v>5.9690000000000003</v>
      </c>
      <c r="Q41">
        <v>-150.80000000000001</v>
      </c>
      <c r="R41">
        <v>-151.80000000000001</v>
      </c>
      <c r="S41">
        <v>0.93600000000000005</v>
      </c>
      <c r="T41">
        <v>2.9217077381034802</v>
      </c>
      <c r="U41">
        <v>81</v>
      </c>
      <c r="V41">
        <v>70</v>
      </c>
      <c r="W41">
        <v>16.885833610179901</v>
      </c>
      <c r="X41">
        <v>0.42191012999999999</v>
      </c>
      <c r="Y41">
        <f t="shared" si="0"/>
        <v>4.4000000000000004</v>
      </c>
    </row>
    <row r="42" spans="1:25" x14ac:dyDescent="0.35">
      <c r="A42" s="1">
        <v>46153</v>
      </c>
      <c r="B42">
        <v>0</v>
      </c>
      <c r="C42">
        <v>0</v>
      </c>
      <c r="D42">
        <v>0</v>
      </c>
      <c r="E42">
        <v>4.0999999999999996</v>
      </c>
      <c r="F42">
        <v>0.1</v>
      </c>
      <c r="G42">
        <v>1047</v>
      </c>
      <c r="H42">
        <v>1060</v>
      </c>
      <c r="I42">
        <v>-13</v>
      </c>
      <c r="J42">
        <v>-1</v>
      </c>
      <c r="K42">
        <v>0</v>
      </c>
      <c r="L42">
        <v>5.8049999999999997</v>
      </c>
      <c r="M42">
        <v>-149.80000000000001</v>
      </c>
      <c r="N42">
        <v>-151.9</v>
      </c>
      <c r="O42">
        <v>0.93300000000000005</v>
      </c>
      <c r="P42">
        <v>5.9450000000000003</v>
      </c>
      <c r="Q42">
        <v>-150.4</v>
      </c>
      <c r="R42">
        <v>-151.80000000000001</v>
      </c>
      <c r="S42">
        <v>0.93200000000000005</v>
      </c>
      <c r="T42">
        <v>2.9340513301792099</v>
      </c>
      <c r="U42">
        <v>81</v>
      </c>
      <c r="V42">
        <v>70</v>
      </c>
      <c r="W42">
        <v>16.88917991516</v>
      </c>
      <c r="X42">
        <v>0.42197811000000002</v>
      </c>
      <c r="Y42">
        <f t="shared" si="0"/>
        <v>4.1999999999999993</v>
      </c>
    </row>
    <row r="43" spans="1:25" x14ac:dyDescent="0.35">
      <c r="A43" s="1">
        <v>46154</v>
      </c>
      <c r="B43">
        <v>0</v>
      </c>
      <c r="C43">
        <v>0</v>
      </c>
      <c r="D43">
        <v>0</v>
      </c>
      <c r="E43">
        <v>5</v>
      </c>
      <c r="F43">
        <v>0.1</v>
      </c>
      <c r="G43">
        <v>1041.9000000000001</v>
      </c>
      <c r="H43">
        <v>1054.7</v>
      </c>
      <c r="I43">
        <v>-12.8</v>
      </c>
      <c r="J43">
        <v>-1</v>
      </c>
      <c r="K43">
        <v>0</v>
      </c>
      <c r="L43">
        <v>5.7759999999999998</v>
      </c>
      <c r="M43">
        <v>-150.19999999999999</v>
      </c>
      <c r="N43">
        <v>-151.9</v>
      </c>
      <c r="O43">
        <v>0.92100000000000004</v>
      </c>
      <c r="P43">
        <v>5.9189999999999996</v>
      </c>
      <c r="Q43">
        <v>-150.69999999999999</v>
      </c>
      <c r="R43">
        <v>-151.9</v>
      </c>
      <c r="S43">
        <v>0.91900000000000004</v>
      </c>
      <c r="T43">
        <v>2.9487446492531202</v>
      </c>
      <c r="U43">
        <v>81</v>
      </c>
      <c r="V43">
        <v>70</v>
      </c>
      <c r="W43">
        <v>16.8933698308199</v>
      </c>
      <c r="X43">
        <v>0.42216244000000003</v>
      </c>
      <c r="Y43">
        <f t="shared" si="0"/>
        <v>5.0999999999999996</v>
      </c>
    </row>
    <row r="44" spans="1:25" x14ac:dyDescent="0.35">
      <c r="A44" s="1">
        <v>46155</v>
      </c>
      <c r="B44">
        <v>0</v>
      </c>
      <c r="C44">
        <v>0</v>
      </c>
      <c r="D44">
        <v>0</v>
      </c>
      <c r="E44">
        <v>3.6</v>
      </c>
      <c r="F44">
        <v>0.6</v>
      </c>
      <c r="G44">
        <v>1037.7</v>
      </c>
      <c r="H44">
        <v>1053.3</v>
      </c>
      <c r="I44">
        <v>-15.6</v>
      </c>
      <c r="J44">
        <v>-1</v>
      </c>
      <c r="K44">
        <v>0</v>
      </c>
      <c r="L44">
        <v>5.766</v>
      </c>
      <c r="M44">
        <v>-149.6</v>
      </c>
      <c r="N44">
        <v>-152</v>
      </c>
      <c r="O44">
        <v>0.92100000000000004</v>
      </c>
      <c r="P44">
        <v>5.9119999999999999</v>
      </c>
      <c r="Q44">
        <v>-150.5</v>
      </c>
      <c r="R44">
        <v>-151.9</v>
      </c>
      <c r="S44">
        <v>0.92</v>
      </c>
      <c r="T44">
        <v>2.9612621495811</v>
      </c>
      <c r="U44">
        <v>81</v>
      </c>
      <c r="V44">
        <v>70</v>
      </c>
      <c r="W44">
        <v>16.896772242119901</v>
      </c>
      <c r="X44">
        <v>0.42232859</v>
      </c>
      <c r="Y44">
        <f t="shared" si="0"/>
        <v>4.2</v>
      </c>
    </row>
    <row r="45" spans="1:25" x14ac:dyDescent="0.35">
      <c r="A45" s="1">
        <v>46156</v>
      </c>
      <c r="B45">
        <v>0</v>
      </c>
      <c r="C45">
        <v>0</v>
      </c>
      <c r="D45">
        <v>0</v>
      </c>
      <c r="E45">
        <v>3.8</v>
      </c>
      <c r="F45">
        <v>0.6</v>
      </c>
      <c r="G45">
        <v>1033.3</v>
      </c>
      <c r="H45">
        <v>1048.5</v>
      </c>
      <c r="I45">
        <v>-15.2</v>
      </c>
      <c r="J45">
        <v>-1</v>
      </c>
      <c r="K45">
        <v>0</v>
      </c>
      <c r="L45">
        <v>5.7489999999999997</v>
      </c>
      <c r="M45">
        <v>-148.1</v>
      </c>
      <c r="N45">
        <v>-152</v>
      </c>
      <c r="O45">
        <v>0.90600000000000003</v>
      </c>
      <c r="P45">
        <v>5.88</v>
      </c>
      <c r="Q45">
        <v>-149.19999999999999</v>
      </c>
      <c r="R45">
        <v>-152</v>
      </c>
      <c r="S45">
        <v>0.90500000000000003</v>
      </c>
      <c r="T45">
        <v>2.9742224585688399</v>
      </c>
      <c r="U45">
        <v>81</v>
      </c>
      <c r="V45">
        <v>70</v>
      </c>
      <c r="W45">
        <v>16.900443174319999</v>
      </c>
      <c r="X45">
        <v>0.42250271</v>
      </c>
      <c r="Y45">
        <f t="shared" si="0"/>
        <v>4.3999999999999995</v>
      </c>
    </row>
    <row r="46" spans="1:25" x14ac:dyDescent="0.35">
      <c r="A46" s="1">
        <v>46157</v>
      </c>
      <c r="B46">
        <v>0</v>
      </c>
      <c r="C46">
        <v>0</v>
      </c>
      <c r="D46">
        <v>0</v>
      </c>
      <c r="E46">
        <v>4.7</v>
      </c>
      <c r="F46">
        <v>1.4</v>
      </c>
      <c r="G46">
        <v>1027.2</v>
      </c>
      <c r="H46">
        <v>1048</v>
      </c>
      <c r="I46">
        <v>-20.8</v>
      </c>
      <c r="J46">
        <v>-1</v>
      </c>
      <c r="K46">
        <v>0</v>
      </c>
      <c r="L46">
        <v>5.7359999999999998</v>
      </c>
      <c r="M46">
        <v>-141.6</v>
      </c>
      <c r="N46">
        <v>-152.30000000000001</v>
      </c>
      <c r="O46">
        <v>0.87</v>
      </c>
      <c r="P46">
        <v>5.8769999999999998</v>
      </c>
      <c r="Q46">
        <v>-142.5</v>
      </c>
      <c r="R46">
        <v>-152.19999999999999</v>
      </c>
      <c r="S46">
        <v>0.86799999999999999</v>
      </c>
      <c r="T46">
        <v>2.99247766622597</v>
      </c>
      <c r="U46">
        <v>81</v>
      </c>
      <c r="V46">
        <v>70</v>
      </c>
      <c r="W46">
        <v>16.905470653019901</v>
      </c>
      <c r="X46">
        <v>0.42309667000000001</v>
      </c>
      <c r="Y46">
        <f t="shared" si="0"/>
        <v>6.1</v>
      </c>
    </row>
    <row r="47" spans="1:25" x14ac:dyDescent="0.35">
      <c r="A47" s="1">
        <v>46158</v>
      </c>
      <c r="B47">
        <v>0</v>
      </c>
      <c r="C47">
        <v>0</v>
      </c>
      <c r="D47">
        <v>0</v>
      </c>
      <c r="E47">
        <v>6.8</v>
      </c>
      <c r="F47">
        <v>0</v>
      </c>
      <c r="G47">
        <v>1020.4</v>
      </c>
      <c r="H47">
        <v>1043.8</v>
      </c>
      <c r="I47">
        <v>-23.4</v>
      </c>
      <c r="J47">
        <v>-1</v>
      </c>
      <c r="K47">
        <v>0</v>
      </c>
      <c r="L47">
        <v>5.7119999999999997</v>
      </c>
      <c r="M47">
        <v>-138.4</v>
      </c>
      <c r="N47">
        <v>-152.5</v>
      </c>
      <c r="O47">
        <v>0.84499999999999997</v>
      </c>
      <c r="P47">
        <v>5.851</v>
      </c>
      <c r="Q47">
        <v>-139.4</v>
      </c>
      <c r="R47">
        <v>-152.4</v>
      </c>
      <c r="S47">
        <v>0.84399999999999997</v>
      </c>
      <c r="T47">
        <v>3.0129297227871801</v>
      </c>
      <c r="U47">
        <v>81</v>
      </c>
      <c r="V47">
        <v>70</v>
      </c>
      <c r="W47">
        <v>16.911271609499899</v>
      </c>
      <c r="X47">
        <v>0.42360926999999998</v>
      </c>
      <c r="Y47">
        <f t="shared" si="0"/>
        <v>6.8</v>
      </c>
    </row>
  </sheetData>
  <pageMargins left="0.7" right="0.7" top="0.75" bottom="0.75" header="0.3" footer="0.3"/>
  <ignoredErrors>
    <ignoredError sqref="Y2:Y4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3FD0-C100-4387-8637-7C82ADFDF37A}">
  <sheetPr>
    <tabColor rgb="FFFFC000"/>
  </sheetPr>
  <dimension ref="M1:AL21"/>
  <sheetViews>
    <sheetView topLeftCell="H1" workbookViewId="0">
      <selection activeCell="N2" sqref="N2"/>
    </sheetView>
  </sheetViews>
  <sheetFormatPr defaultRowHeight="14.5" x14ac:dyDescent="0.35"/>
  <cols>
    <col min="14" max="14" width="11.6328125" customWidth="1"/>
  </cols>
  <sheetData>
    <row r="1" spans="13:38" x14ac:dyDescent="0.35">
      <c r="M1" s="2">
        <v>38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</row>
    <row r="2" spans="13:38" x14ac:dyDescent="0.35">
      <c r="M2" s="2"/>
      <c r="N2" s="3" cm="1">
        <f t="array" ref="N2">INDEX(topaz!A:A,$M$1+ROW(A2))</f>
        <v>46151</v>
      </c>
      <c r="O2" s="2" cm="1">
        <f t="array" ref="O2">INDEX(topaz!B:B,$M$1+ROW(B2))</f>
        <v>0</v>
      </c>
      <c r="P2" s="2" cm="1">
        <f t="array" ref="P2">INDEX(topaz!C:C,$M$1+ROW(C2))</f>
        <v>0</v>
      </c>
      <c r="Q2" s="2" cm="1">
        <f t="array" ref="Q2">INDEX(topaz!D:D,$M$1+ROW(D2))</f>
        <v>0</v>
      </c>
      <c r="R2" s="2" cm="1">
        <f t="array" ref="R2">INDEX(topaz!E:E,$M$1+ROW(E2))</f>
        <v>5.0999999999999996</v>
      </c>
      <c r="S2" s="2" cm="1">
        <f t="array" ref="S2">INDEX(topaz!F:F,$M$1+ROW(F2))</f>
        <v>0</v>
      </c>
      <c r="T2" s="2" cm="1">
        <f t="array" ref="T2">INDEX(topaz!G:G,$M$1+ROW(G2))</f>
        <v>1055.5999999999999</v>
      </c>
      <c r="U2" s="2" cm="1">
        <f t="array" ref="U2">INDEX(topaz!H:H,$M$1+ROW(H2))</f>
        <v>1068.3</v>
      </c>
      <c r="V2" s="2" cm="1">
        <f t="array" ref="V2">INDEX(topaz!I:I,$M$1+ROW(I2))</f>
        <v>-12.7</v>
      </c>
      <c r="W2" s="2" cm="1">
        <f t="array" ref="W2">INDEX(topaz!J:J,$M$1+ROW(J2))</f>
        <v>-1</v>
      </c>
      <c r="X2" s="2" cm="1">
        <f t="array" ref="X2">INDEX(topaz!K:K,$M$1+ROW(K2))</f>
        <v>0</v>
      </c>
      <c r="Y2" s="2" cm="1">
        <f t="array" ref="Y2">INDEX(topaz!L:L,$M$1+ROW(L2))</f>
        <v>5.8470000000000004</v>
      </c>
      <c r="Z2" s="2" cm="1">
        <f t="array" ref="Z2">INDEX(topaz!M:M,$M$1+ROW(M2))</f>
        <v>-150.6</v>
      </c>
      <c r="AA2" s="2" cm="1">
        <f t="array" ref="AA2">INDEX(topaz!N:N,$M$1+ROW(N2))</f>
        <v>-151.9</v>
      </c>
      <c r="AB2" s="2" cm="1">
        <f t="array" ref="AB2">INDEX(topaz!O:O,$M$1+ROW(O2))</f>
        <v>0.93500000000000005</v>
      </c>
      <c r="AC2" s="2" cm="1">
        <f t="array" ref="AC2">INDEX(topaz!P:P,$M$1+ROW(P2))</f>
        <v>5.9850000000000003</v>
      </c>
      <c r="AD2" s="2" cm="1">
        <f t="array" ref="AD2">INDEX(topaz!Q:Q,$M$1+ROW(Q2))</f>
        <v>-150.9</v>
      </c>
      <c r="AE2" s="2" cm="1">
        <f t="array" ref="AE2">INDEX(topaz!R:R,$M$1+ROW(R2))</f>
        <v>-151.80000000000001</v>
      </c>
      <c r="AF2" s="2" cm="1">
        <f t="array" ref="AF2">INDEX(topaz!S:S,$M$1+ROW(S2))</f>
        <v>0.93500000000000005</v>
      </c>
      <c r="AG2" s="2" cm="1">
        <f t="array" ref="AG2">INDEX(topaz!T:T,$M$1+ROW(T2))</f>
        <v>2.90922238609775</v>
      </c>
      <c r="AH2" s="2" cm="1">
        <f t="array" ref="AH2">INDEX(topaz!U:U,$M$1+ROW(U2))</f>
        <v>81</v>
      </c>
      <c r="AI2" s="2" cm="1">
        <f t="array" ref="AI2">INDEX(topaz!V:V,$M$1+ROW(V2))</f>
        <v>70</v>
      </c>
      <c r="AJ2" s="2" cm="1">
        <f t="array" ref="AJ2">INDEX(topaz!W:W,$M$1+ROW(W2))</f>
        <v>16.882302943779901</v>
      </c>
      <c r="AK2" s="2" cm="1">
        <f t="array" ref="AK2">INDEX(topaz!X:X,$M$1+ROW(X2))</f>
        <v>0.42183876999999997</v>
      </c>
      <c r="AL2" s="2" cm="1">
        <f t="array" ref="AL2">INDEX(topaz!Y:Y,$M$1+ROW(Y2))</f>
        <v>5.0999999999999996</v>
      </c>
    </row>
    <row r="3" spans="13:38" x14ac:dyDescent="0.35">
      <c r="M3" s="2"/>
      <c r="N3" s="3" cm="1">
        <f t="array" ref="N3">INDEX(topaz!A:A,$M$1+ROW(A3))</f>
        <v>46152</v>
      </c>
      <c r="O3" s="2" cm="1">
        <f t="array" ref="O3">INDEX(topaz!B:B,$M$1+ROW(B3))</f>
        <v>0</v>
      </c>
      <c r="P3" s="2" cm="1">
        <f t="array" ref="P3">INDEX(topaz!C:C,$M$1+ROW(C3))</f>
        <v>0</v>
      </c>
      <c r="Q3" s="2" cm="1">
        <f t="array" ref="Q3">INDEX(topaz!D:D,$M$1+ROW(D3))</f>
        <v>0</v>
      </c>
      <c r="R3" s="2" cm="1">
        <f t="array" ref="R3">INDEX(topaz!E:E,$M$1+ROW(E3))</f>
        <v>4.4000000000000004</v>
      </c>
      <c r="S3" s="2" cm="1">
        <f t="array" ref="S3">INDEX(topaz!F:F,$M$1+ROW(F3))</f>
        <v>0</v>
      </c>
      <c r="T3" s="2" cm="1">
        <f t="array" ref="T3">INDEX(topaz!G:G,$M$1+ROW(G3))</f>
        <v>1051.2</v>
      </c>
      <c r="U3" s="2" cm="1">
        <f t="array" ref="U3">INDEX(topaz!H:H,$M$1+ROW(H3))</f>
        <v>1065</v>
      </c>
      <c r="V3" s="2" cm="1">
        <f t="array" ref="V3">INDEX(topaz!I:I,$M$1+ROW(I3))</f>
        <v>-13.8</v>
      </c>
      <c r="W3" s="2" cm="1">
        <f t="array" ref="W3">INDEX(topaz!J:J,$M$1+ROW(J3))</f>
        <v>-1</v>
      </c>
      <c r="X3" s="2" cm="1">
        <f t="array" ref="X3">INDEX(topaz!K:K,$M$1+ROW(K3))</f>
        <v>0</v>
      </c>
      <c r="Y3" s="2" cm="1">
        <f t="array" ref="Y3">INDEX(topaz!L:L,$M$1+ROW(L3))</f>
        <v>5.83</v>
      </c>
      <c r="Z3" s="2" cm="1">
        <f t="array" ref="Z3">INDEX(topaz!M:M,$M$1+ROW(M3))</f>
        <v>-150.4</v>
      </c>
      <c r="AA3" s="2" cm="1">
        <f t="array" ref="AA3">INDEX(topaz!N:N,$M$1+ROW(N3))</f>
        <v>-151.9</v>
      </c>
      <c r="AB3" s="2" cm="1">
        <f t="array" ref="AB3">INDEX(topaz!O:O,$M$1+ROW(O3))</f>
        <v>0.93700000000000006</v>
      </c>
      <c r="AC3" s="2" cm="1">
        <f t="array" ref="AC3">INDEX(topaz!P:P,$M$1+ROW(P3))</f>
        <v>5.9690000000000003</v>
      </c>
      <c r="AD3" s="2" cm="1">
        <f t="array" ref="AD3">INDEX(topaz!Q:Q,$M$1+ROW(Q3))</f>
        <v>-150.80000000000001</v>
      </c>
      <c r="AE3" s="2" cm="1">
        <f t="array" ref="AE3">INDEX(topaz!R:R,$M$1+ROW(R3))</f>
        <v>-151.80000000000001</v>
      </c>
      <c r="AF3" s="2" cm="1">
        <f t="array" ref="AF3">INDEX(topaz!S:S,$M$1+ROW(S3))</f>
        <v>0.93600000000000005</v>
      </c>
      <c r="AG3" s="2" cm="1">
        <f t="array" ref="AG3">INDEX(topaz!T:T,$M$1+ROW(T3))</f>
        <v>2.9217077381034802</v>
      </c>
      <c r="AH3" s="2" cm="1">
        <f t="array" ref="AH3">INDEX(topaz!U:U,$M$1+ROW(U3))</f>
        <v>81</v>
      </c>
      <c r="AI3" s="2" cm="1">
        <f t="array" ref="AI3">INDEX(topaz!V:V,$M$1+ROW(V3))</f>
        <v>70</v>
      </c>
      <c r="AJ3" s="2" cm="1">
        <f t="array" ref="AJ3">INDEX(topaz!W:W,$M$1+ROW(W3))</f>
        <v>16.885833610179901</v>
      </c>
      <c r="AK3" s="2" cm="1">
        <f t="array" ref="AK3">INDEX(topaz!X:X,$M$1+ROW(X3))</f>
        <v>0.42191012999999999</v>
      </c>
      <c r="AL3" s="2" cm="1">
        <f t="array" ref="AL3">INDEX(topaz!Y:Y,$M$1+ROW(Y3))</f>
        <v>4.4000000000000004</v>
      </c>
    </row>
    <row r="4" spans="13:38" x14ac:dyDescent="0.35">
      <c r="M4" s="2"/>
      <c r="N4" s="3" cm="1">
        <f t="array" ref="N4">INDEX(topaz!A:A,$M$1+ROW(A4))</f>
        <v>46153</v>
      </c>
      <c r="O4" s="2" cm="1">
        <f t="array" ref="O4">INDEX(topaz!B:B,$M$1+ROW(B4))</f>
        <v>0</v>
      </c>
      <c r="P4" s="2" cm="1">
        <f t="array" ref="P4">INDEX(topaz!C:C,$M$1+ROW(C4))</f>
        <v>0</v>
      </c>
      <c r="Q4" s="2" cm="1">
        <f t="array" ref="Q4">INDEX(topaz!D:D,$M$1+ROW(D4))</f>
        <v>0</v>
      </c>
      <c r="R4" s="2" cm="1">
        <f t="array" ref="R4">INDEX(topaz!E:E,$M$1+ROW(E4))</f>
        <v>4.0999999999999996</v>
      </c>
      <c r="S4" s="2" cm="1">
        <f t="array" ref="S4">INDEX(topaz!F:F,$M$1+ROW(F4))</f>
        <v>0.1</v>
      </c>
      <c r="T4" s="2" cm="1">
        <f t="array" ref="T4">INDEX(topaz!G:G,$M$1+ROW(G4))</f>
        <v>1047</v>
      </c>
      <c r="U4" s="2" cm="1">
        <f t="array" ref="U4">INDEX(topaz!H:H,$M$1+ROW(H4))</f>
        <v>1060</v>
      </c>
      <c r="V4" s="2" cm="1">
        <f t="array" ref="V4">INDEX(topaz!I:I,$M$1+ROW(I4))</f>
        <v>-13</v>
      </c>
      <c r="W4" s="2" cm="1">
        <f t="array" ref="W4">INDEX(topaz!J:J,$M$1+ROW(J4))</f>
        <v>-1</v>
      </c>
      <c r="X4" s="2" cm="1">
        <f t="array" ref="X4">INDEX(topaz!K:K,$M$1+ROW(K4))</f>
        <v>0</v>
      </c>
      <c r="Y4" s="2" cm="1">
        <f t="array" ref="Y4">INDEX(topaz!L:L,$M$1+ROW(L4))</f>
        <v>5.8049999999999997</v>
      </c>
      <c r="Z4" s="2" cm="1">
        <f t="array" ref="Z4">INDEX(topaz!M:M,$M$1+ROW(M4))</f>
        <v>-149.80000000000001</v>
      </c>
      <c r="AA4" s="2" cm="1">
        <f t="array" ref="AA4">INDEX(topaz!N:N,$M$1+ROW(N4))</f>
        <v>-151.9</v>
      </c>
      <c r="AB4" s="2" cm="1">
        <f t="array" ref="AB4">INDEX(topaz!O:O,$M$1+ROW(O4))</f>
        <v>0.93300000000000005</v>
      </c>
      <c r="AC4" s="2" cm="1">
        <f t="array" ref="AC4">INDEX(topaz!P:P,$M$1+ROW(P4))</f>
        <v>5.9450000000000003</v>
      </c>
      <c r="AD4" s="2" cm="1">
        <f t="array" ref="AD4">INDEX(topaz!Q:Q,$M$1+ROW(Q4))</f>
        <v>-150.4</v>
      </c>
      <c r="AE4" s="2" cm="1">
        <f t="array" ref="AE4">INDEX(topaz!R:R,$M$1+ROW(R4))</f>
        <v>-151.80000000000001</v>
      </c>
      <c r="AF4" s="2" cm="1">
        <f t="array" ref="AF4">INDEX(topaz!S:S,$M$1+ROW(S4))</f>
        <v>0.93200000000000005</v>
      </c>
      <c r="AG4" s="2" cm="1">
        <f t="array" ref="AG4">INDEX(topaz!T:T,$M$1+ROW(T4))</f>
        <v>2.9340513301792099</v>
      </c>
      <c r="AH4" s="2" cm="1">
        <f t="array" ref="AH4">INDEX(topaz!U:U,$M$1+ROW(U4))</f>
        <v>81</v>
      </c>
      <c r="AI4" s="2" cm="1">
        <f t="array" ref="AI4">INDEX(topaz!V:V,$M$1+ROW(V4))</f>
        <v>70</v>
      </c>
      <c r="AJ4" s="2" cm="1">
        <f t="array" ref="AJ4">INDEX(topaz!W:W,$M$1+ROW(W4))</f>
        <v>16.88917991516</v>
      </c>
      <c r="AK4" s="2" cm="1">
        <f t="array" ref="AK4">INDEX(topaz!X:X,$M$1+ROW(X4))</f>
        <v>0.42197811000000002</v>
      </c>
      <c r="AL4" s="2" cm="1">
        <f t="array" ref="AL4">INDEX(topaz!Y:Y,$M$1+ROW(Y4))</f>
        <v>4.1999999999999993</v>
      </c>
    </row>
    <row r="5" spans="13:38" x14ac:dyDescent="0.35">
      <c r="M5" s="2"/>
      <c r="N5" s="3" cm="1">
        <f t="array" ref="N5">INDEX(topaz!A:A,$M$1+ROW(A5))</f>
        <v>46154</v>
      </c>
      <c r="O5" s="2" cm="1">
        <f t="array" ref="O5">INDEX(topaz!B:B,$M$1+ROW(B5))</f>
        <v>0</v>
      </c>
      <c r="P5" s="2" cm="1">
        <f t="array" ref="P5">INDEX(topaz!C:C,$M$1+ROW(C5))</f>
        <v>0</v>
      </c>
      <c r="Q5" s="2" cm="1">
        <f t="array" ref="Q5">INDEX(topaz!D:D,$M$1+ROW(D5))</f>
        <v>0</v>
      </c>
      <c r="R5" s="2" cm="1">
        <f t="array" ref="R5">INDEX(topaz!E:E,$M$1+ROW(E5))</f>
        <v>5</v>
      </c>
      <c r="S5" s="2" cm="1">
        <f t="array" ref="S5">INDEX(topaz!F:F,$M$1+ROW(F5))</f>
        <v>0.1</v>
      </c>
      <c r="T5" s="2" cm="1">
        <f t="array" ref="T5">INDEX(topaz!G:G,$M$1+ROW(G5))</f>
        <v>1041.9000000000001</v>
      </c>
      <c r="U5" s="2" cm="1">
        <f t="array" ref="U5">INDEX(topaz!H:H,$M$1+ROW(H5))</f>
        <v>1054.7</v>
      </c>
      <c r="V5" s="2" cm="1">
        <f t="array" ref="V5">INDEX(topaz!I:I,$M$1+ROW(I5))</f>
        <v>-12.8</v>
      </c>
      <c r="W5" s="2" cm="1">
        <f t="array" ref="W5">INDEX(topaz!J:J,$M$1+ROW(J5))</f>
        <v>-1</v>
      </c>
      <c r="X5" s="2" cm="1">
        <f t="array" ref="X5">INDEX(topaz!K:K,$M$1+ROW(K5))</f>
        <v>0</v>
      </c>
      <c r="Y5" s="2" cm="1">
        <f t="array" ref="Y5">INDEX(topaz!L:L,$M$1+ROW(L5))</f>
        <v>5.7759999999999998</v>
      </c>
      <c r="Z5" s="2" cm="1">
        <f t="array" ref="Z5">INDEX(topaz!M:M,$M$1+ROW(M5))</f>
        <v>-150.19999999999999</v>
      </c>
      <c r="AA5" s="2" cm="1">
        <f t="array" ref="AA5">INDEX(topaz!N:N,$M$1+ROW(N5))</f>
        <v>-151.9</v>
      </c>
      <c r="AB5" s="2" cm="1">
        <f t="array" ref="AB5">INDEX(topaz!O:O,$M$1+ROW(O5))</f>
        <v>0.92100000000000004</v>
      </c>
      <c r="AC5" s="2" cm="1">
        <f t="array" ref="AC5">INDEX(topaz!P:P,$M$1+ROW(P5))</f>
        <v>5.9189999999999996</v>
      </c>
      <c r="AD5" s="2" cm="1">
        <f t="array" ref="AD5">INDEX(topaz!Q:Q,$M$1+ROW(Q5))</f>
        <v>-150.69999999999999</v>
      </c>
      <c r="AE5" s="2" cm="1">
        <f t="array" ref="AE5">INDEX(topaz!R:R,$M$1+ROW(R5))</f>
        <v>-151.9</v>
      </c>
      <c r="AF5" s="2" cm="1">
        <f t="array" ref="AF5">INDEX(topaz!S:S,$M$1+ROW(S5))</f>
        <v>0.91900000000000004</v>
      </c>
      <c r="AG5" s="2" cm="1">
        <f t="array" ref="AG5">INDEX(topaz!T:T,$M$1+ROW(T5))</f>
        <v>2.9487446492531202</v>
      </c>
      <c r="AH5" s="2" cm="1">
        <f t="array" ref="AH5">INDEX(topaz!U:U,$M$1+ROW(U5))</f>
        <v>81</v>
      </c>
      <c r="AI5" s="2" cm="1">
        <f t="array" ref="AI5">INDEX(topaz!V:V,$M$1+ROW(V5))</f>
        <v>70</v>
      </c>
      <c r="AJ5" s="2" cm="1">
        <f t="array" ref="AJ5">INDEX(topaz!W:W,$M$1+ROW(W5))</f>
        <v>16.8933698308199</v>
      </c>
      <c r="AK5" s="2" cm="1">
        <f t="array" ref="AK5">INDEX(topaz!X:X,$M$1+ROW(X5))</f>
        <v>0.42216244000000003</v>
      </c>
      <c r="AL5" s="2" cm="1">
        <f t="array" ref="AL5">INDEX(topaz!Y:Y,$M$1+ROW(Y5))</f>
        <v>5.0999999999999996</v>
      </c>
    </row>
    <row r="6" spans="13:38" x14ac:dyDescent="0.35">
      <c r="M6" s="2"/>
      <c r="N6" s="3" cm="1">
        <f t="array" ref="N6">INDEX(topaz!A:A,$M$1+ROW(A6))</f>
        <v>46155</v>
      </c>
      <c r="O6" s="2" cm="1">
        <f t="array" ref="O6">INDEX(topaz!B:B,$M$1+ROW(B6))</f>
        <v>0</v>
      </c>
      <c r="P6" s="2" cm="1">
        <f t="array" ref="P6">INDEX(topaz!C:C,$M$1+ROW(C6))</f>
        <v>0</v>
      </c>
      <c r="Q6" s="2" cm="1">
        <f t="array" ref="Q6">INDEX(topaz!D:D,$M$1+ROW(D6))</f>
        <v>0</v>
      </c>
      <c r="R6" s="2" cm="1">
        <f t="array" ref="R6">INDEX(topaz!E:E,$M$1+ROW(E6))</f>
        <v>3.6</v>
      </c>
      <c r="S6" s="2" cm="1">
        <f t="array" ref="S6">INDEX(topaz!F:F,$M$1+ROW(F6))</f>
        <v>0.6</v>
      </c>
      <c r="T6" s="2" cm="1">
        <f t="array" ref="T6">INDEX(topaz!G:G,$M$1+ROW(G6))</f>
        <v>1037.7</v>
      </c>
      <c r="U6" s="2" cm="1">
        <f t="array" ref="U6">INDEX(topaz!H:H,$M$1+ROW(H6))</f>
        <v>1053.3</v>
      </c>
      <c r="V6" s="2" cm="1">
        <f t="array" ref="V6">INDEX(topaz!I:I,$M$1+ROW(I6))</f>
        <v>-15.6</v>
      </c>
      <c r="W6" s="2" cm="1">
        <f t="array" ref="W6">INDEX(topaz!J:J,$M$1+ROW(J6))</f>
        <v>-1</v>
      </c>
      <c r="X6" s="2" cm="1">
        <f t="array" ref="X6">INDEX(topaz!K:K,$M$1+ROW(K6))</f>
        <v>0</v>
      </c>
      <c r="Y6" s="2" cm="1">
        <f t="array" ref="Y6">INDEX(topaz!L:L,$M$1+ROW(L6))</f>
        <v>5.766</v>
      </c>
      <c r="Z6" s="2" cm="1">
        <f t="array" ref="Z6">INDEX(topaz!M:M,$M$1+ROW(M6))</f>
        <v>-149.6</v>
      </c>
      <c r="AA6" s="2" cm="1">
        <f t="array" ref="AA6">INDEX(topaz!N:N,$M$1+ROW(N6))</f>
        <v>-152</v>
      </c>
      <c r="AB6" s="2" cm="1">
        <f t="array" ref="AB6">INDEX(topaz!O:O,$M$1+ROW(O6))</f>
        <v>0.92100000000000004</v>
      </c>
      <c r="AC6" s="2" cm="1">
        <f t="array" ref="AC6">INDEX(topaz!P:P,$M$1+ROW(P6))</f>
        <v>5.9119999999999999</v>
      </c>
      <c r="AD6" s="2" cm="1">
        <f t="array" ref="AD6">INDEX(topaz!Q:Q,$M$1+ROW(Q6))</f>
        <v>-150.5</v>
      </c>
      <c r="AE6" s="2" cm="1">
        <f t="array" ref="AE6">INDEX(topaz!R:R,$M$1+ROW(R6))</f>
        <v>-151.9</v>
      </c>
      <c r="AF6" s="2" cm="1">
        <f t="array" ref="AF6">INDEX(topaz!S:S,$M$1+ROW(S6))</f>
        <v>0.92</v>
      </c>
      <c r="AG6" s="2" cm="1">
        <f t="array" ref="AG6">INDEX(topaz!T:T,$M$1+ROW(T6))</f>
        <v>2.9612621495811</v>
      </c>
      <c r="AH6" s="2" cm="1">
        <f t="array" ref="AH6">INDEX(topaz!U:U,$M$1+ROW(U6))</f>
        <v>81</v>
      </c>
      <c r="AI6" s="2" cm="1">
        <f t="array" ref="AI6">INDEX(topaz!V:V,$M$1+ROW(V6))</f>
        <v>70</v>
      </c>
      <c r="AJ6" s="2" cm="1">
        <f t="array" ref="AJ6">INDEX(topaz!W:W,$M$1+ROW(W6))</f>
        <v>16.896772242119901</v>
      </c>
      <c r="AK6" s="2" cm="1">
        <f t="array" ref="AK6">INDEX(topaz!X:X,$M$1+ROW(X6))</f>
        <v>0.42232859</v>
      </c>
      <c r="AL6" s="2" cm="1">
        <f t="array" ref="AL6">INDEX(topaz!Y:Y,$M$1+ROW(Y6))</f>
        <v>4.2</v>
      </c>
    </row>
    <row r="7" spans="13:38" x14ac:dyDescent="0.35">
      <c r="M7" s="2"/>
      <c r="N7" s="3" cm="1">
        <f t="array" ref="N7">INDEX(topaz!A:A,$M$1+ROW(A7))</f>
        <v>46156</v>
      </c>
      <c r="O7" s="2" cm="1">
        <f t="array" ref="O7">INDEX(topaz!B:B,$M$1+ROW(B7))</f>
        <v>0</v>
      </c>
      <c r="P7" s="2" cm="1">
        <f t="array" ref="P7">INDEX(topaz!C:C,$M$1+ROW(C7))</f>
        <v>0</v>
      </c>
      <c r="Q7" s="2" cm="1">
        <f t="array" ref="Q7">INDEX(topaz!D:D,$M$1+ROW(D7))</f>
        <v>0</v>
      </c>
      <c r="R7" s="2" cm="1">
        <f t="array" ref="R7">INDEX(topaz!E:E,$M$1+ROW(E7))</f>
        <v>3.8</v>
      </c>
      <c r="S7" s="2" cm="1">
        <f t="array" ref="S7">INDEX(topaz!F:F,$M$1+ROW(F7))</f>
        <v>0.6</v>
      </c>
      <c r="T7" s="2" cm="1">
        <f t="array" ref="T7">INDEX(topaz!G:G,$M$1+ROW(G7))</f>
        <v>1033.3</v>
      </c>
      <c r="U7" s="2" cm="1">
        <f t="array" ref="U7">INDEX(topaz!H:H,$M$1+ROW(H7))</f>
        <v>1048.5</v>
      </c>
      <c r="V7" s="2" cm="1">
        <f t="array" ref="V7">INDEX(topaz!I:I,$M$1+ROW(I7))</f>
        <v>-15.2</v>
      </c>
      <c r="W7" s="2" cm="1">
        <f t="array" ref="W7">INDEX(topaz!J:J,$M$1+ROW(J7))</f>
        <v>-1</v>
      </c>
      <c r="X7" s="2" cm="1">
        <f t="array" ref="X7">INDEX(topaz!K:K,$M$1+ROW(K7))</f>
        <v>0</v>
      </c>
      <c r="Y7" s="2" cm="1">
        <f t="array" ref="Y7">INDEX(topaz!L:L,$M$1+ROW(L7))</f>
        <v>5.7489999999999997</v>
      </c>
      <c r="Z7" s="2" cm="1">
        <f t="array" ref="Z7">INDEX(topaz!M:M,$M$1+ROW(M7))</f>
        <v>-148.1</v>
      </c>
      <c r="AA7" s="2" cm="1">
        <f t="array" ref="AA7">INDEX(topaz!N:N,$M$1+ROW(N7))</f>
        <v>-152</v>
      </c>
      <c r="AB7" s="2" cm="1">
        <f t="array" ref="AB7">INDEX(topaz!O:O,$M$1+ROW(O7))</f>
        <v>0.90600000000000003</v>
      </c>
      <c r="AC7" s="2" cm="1">
        <f t="array" ref="AC7">INDEX(topaz!P:P,$M$1+ROW(P7))</f>
        <v>5.88</v>
      </c>
      <c r="AD7" s="2" cm="1">
        <f t="array" ref="AD7">INDEX(topaz!Q:Q,$M$1+ROW(Q7))</f>
        <v>-149.19999999999999</v>
      </c>
      <c r="AE7" s="2" cm="1">
        <f t="array" ref="AE7">INDEX(topaz!R:R,$M$1+ROW(R7))</f>
        <v>-152</v>
      </c>
      <c r="AF7" s="2" cm="1">
        <f t="array" ref="AF7">INDEX(topaz!S:S,$M$1+ROW(S7))</f>
        <v>0.90500000000000003</v>
      </c>
      <c r="AG7" s="2" cm="1">
        <f t="array" ref="AG7">INDEX(topaz!T:T,$M$1+ROW(T7))</f>
        <v>2.9742224585688399</v>
      </c>
      <c r="AH7" s="2" cm="1">
        <f t="array" ref="AH7">INDEX(topaz!U:U,$M$1+ROW(U7))</f>
        <v>81</v>
      </c>
      <c r="AI7" s="2" cm="1">
        <f t="array" ref="AI7">INDEX(topaz!V:V,$M$1+ROW(V7))</f>
        <v>70</v>
      </c>
      <c r="AJ7" s="2" cm="1">
        <f t="array" ref="AJ7">INDEX(topaz!W:W,$M$1+ROW(W7))</f>
        <v>16.900443174319999</v>
      </c>
      <c r="AK7" s="2" cm="1">
        <f t="array" ref="AK7">INDEX(topaz!X:X,$M$1+ROW(X7))</f>
        <v>0.42250271</v>
      </c>
      <c r="AL7" s="2" cm="1">
        <f t="array" ref="AL7">INDEX(topaz!Y:Y,$M$1+ROW(Y7))</f>
        <v>4.3999999999999995</v>
      </c>
    </row>
    <row r="8" spans="13:38" x14ac:dyDescent="0.35">
      <c r="M8" s="2"/>
      <c r="N8" s="3" cm="1">
        <f t="array" ref="N8">INDEX(topaz!A:A,$M$1+ROW(A8))</f>
        <v>46157</v>
      </c>
      <c r="O8" s="2" cm="1">
        <f t="array" ref="O8">INDEX(topaz!B:B,$M$1+ROW(B8))</f>
        <v>0</v>
      </c>
      <c r="P8" s="2" cm="1">
        <f t="array" ref="P8">INDEX(topaz!C:C,$M$1+ROW(C8))</f>
        <v>0</v>
      </c>
      <c r="Q8" s="2" cm="1">
        <f t="array" ref="Q8">INDEX(topaz!D:D,$M$1+ROW(D8))</f>
        <v>0</v>
      </c>
      <c r="R8" s="2" cm="1">
        <f t="array" ref="R8">INDEX(topaz!E:E,$M$1+ROW(E8))</f>
        <v>4.7</v>
      </c>
      <c r="S8" s="2" cm="1">
        <f t="array" ref="S8">INDEX(topaz!F:F,$M$1+ROW(F8))</f>
        <v>1.4</v>
      </c>
      <c r="T8" s="2" cm="1">
        <f t="array" ref="T8">INDEX(topaz!G:G,$M$1+ROW(G8))</f>
        <v>1027.2</v>
      </c>
      <c r="U8" s="2" cm="1">
        <f t="array" ref="U8">INDEX(topaz!H:H,$M$1+ROW(H8))</f>
        <v>1048</v>
      </c>
      <c r="V8" s="2" cm="1">
        <f t="array" ref="V8">INDEX(topaz!I:I,$M$1+ROW(I8))</f>
        <v>-20.8</v>
      </c>
      <c r="W8" s="2" cm="1">
        <f t="array" ref="W8">INDEX(topaz!J:J,$M$1+ROW(J8))</f>
        <v>-1</v>
      </c>
      <c r="X8" s="2" cm="1">
        <f t="array" ref="X8">INDEX(topaz!K:K,$M$1+ROW(K8))</f>
        <v>0</v>
      </c>
      <c r="Y8" s="2" cm="1">
        <f t="array" ref="Y8">INDEX(topaz!L:L,$M$1+ROW(L8))</f>
        <v>5.7359999999999998</v>
      </c>
      <c r="Z8" s="2" cm="1">
        <f t="array" ref="Z8">INDEX(topaz!M:M,$M$1+ROW(M8))</f>
        <v>-141.6</v>
      </c>
      <c r="AA8" s="2" cm="1">
        <f t="array" ref="AA8">INDEX(topaz!N:N,$M$1+ROW(N8))</f>
        <v>-152.30000000000001</v>
      </c>
      <c r="AB8" s="2" cm="1">
        <f t="array" ref="AB8">INDEX(topaz!O:O,$M$1+ROW(O8))</f>
        <v>0.87</v>
      </c>
      <c r="AC8" s="2" cm="1">
        <f t="array" ref="AC8">INDEX(topaz!P:P,$M$1+ROW(P8))</f>
        <v>5.8769999999999998</v>
      </c>
      <c r="AD8" s="2" cm="1">
        <f t="array" ref="AD8">INDEX(topaz!Q:Q,$M$1+ROW(Q8))</f>
        <v>-142.5</v>
      </c>
      <c r="AE8" s="2" cm="1">
        <f t="array" ref="AE8">INDEX(topaz!R:R,$M$1+ROW(R8))</f>
        <v>-152.19999999999999</v>
      </c>
      <c r="AF8" s="2" cm="1">
        <f t="array" ref="AF8">INDEX(topaz!S:S,$M$1+ROW(S8))</f>
        <v>0.86799999999999999</v>
      </c>
      <c r="AG8" s="2" cm="1">
        <f t="array" ref="AG8">INDEX(topaz!T:T,$M$1+ROW(T8))</f>
        <v>2.99247766622597</v>
      </c>
      <c r="AH8" s="2" cm="1">
        <f t="array" ref="AH8">INDEX(topaz!U:U,$M$1+ROW(U8))</f>
        <v>81</v>
      </c>
      <c r="AI8" s="2" cm="1">
        <f t="array" ref="AI8">INDEX(topaz!V:V,$M$1+ROW(V8))</f>
        <v>70</v>
      </c>
      <c r="AJ8" s="2" cm="1">
        <f t="array" ref="AJ8">INDEX(topaz!W:W,$M$1+ROW(W8))</f>
        <v>16.905470653019901</v>
      </c>
      <c r="AK8" s="2" cm="1">
        <f t="array" ref="AK8">INDEX(topaz!X:X,$M$1+ROW(X8))</f>
        <v>0.42309667000000001</v>
      </c>
      <c r="AL8" s="2" cm="1">
        <f t="array" ref="AL8">INDEX(topaz!Y:Y,$M$1+ROW(Y8))</f>
        <v>6.1</v>
      </c>
    </row>
    <row r="9" spans="13:38" x14ac:dyDescent="0.35">
      <c r="M9" s="2"/>
      <c r="N9" s="3" cm="1">
        <f t="array" ref="N9">INDEX(topaz!A:A,$M$1+ROW(A9))</f>
        <v>46158</v>
      </c>
      <c r="O9" s="2" cm="1">
        <f t="array" ref="O9">INDEX(topaz!B:B,$M$1+ROW(B9))</f>
        <v>0</v>
      </c>
      <c r="P9" s="2" cm="1">
        <f t="array" ref="P9">INDEX(topaz!C:C,$M$1+ROW(C9))</f>
        <v>0</v>
      </c>
      <c r="Q9" s="2" cm="1">
        <f t="array" ref="Q9">INDEX(topaz!D:D,$M$1+ROW(D9))</f>
        <v>0</v>
      </c>
      <c r="R9" s="2" cm="1">
        <f t="array" ref="R9">INDEX(topaz!E:E,$M$1+ROW(E9))</f>
        <v>6.8</v>
      </c>
      <c r="S9" s="2" cm="1">
        <f t="array" ref="S9">INDEX(topaz!F:F,$M$1+ROW(F9))</f>
        <v>0</v>
      </c>
      <c r="T9" s="2" cm="1">
        <f t="array" ref="T9">INDEX(topaz!G:G,$M$1+ROW(G9))</f>
        <v>1020.4</v>
      </c>
      <c r="U9" s="2" cm="1">
        <f t="array" ref="U9">INDEX(topaz!H:H,$M$1+ROW(H9))</f>
        <v>1043.8</v>
      </c>
      <c r="V9" s="2" cm="1">
        <f t="array" ref="V9">INDEX(topaz!I:I,$M$1+ROW(I9))</f>
        <v>-23.4</v>
      </c>
      <c r="W9" s="2" cm="1">
        <f t="array" ref="W9">INDEX(topaz!J:J,$M$1+ROW(J9))</f>
        <v>-1</v>
      </c>
      <c r="X9" s="2" cm="1">
        <f t="array" ref="X9">INDEX(topaz!K:K,$M$1+ROW(K9))</f>
        <v>0</v>
      </c>
      <c r="Y9" s="2" cm="1">
        <f t="array" ref="Y9">INDEX(topaz!L:L,$M$1+ROW(L9))</f>
        <v>5.7119999999999997</v>
      </c>
      <c r="Z9" s="2" cm="1">
        <f t="array" ref="Z9">INDEX(topaz!M:M,$M$1+ROW(M9))</f>
        <v>-138.4</v>
      </c>
      <c r="AA9" s="2" cm="1">
        <f t="array" ref="AA9">INDEX(topaz!N:N,$M$1+ROW(N9))</f>
        <v>-152.5</v>
      </c>
      <c r="AB9" s="2" cm="1">
        <f t="array" ref="AB9">INDEX(topaz!O:O,$M$1+ROW(O9))</f>
        <v>0.84499999999999997</v>
      </c>
      <c r="AC9" s="2" cm="1">
        <f t="array" ref="AC9">INDEX(topaz!P:P,$M$1+ROW(P9))</f>
        <v>5.851</v>
      </c>
      <c r="AD9" s="2" cm="1">
        <f t="array" ref="AD9">INDEX(topaz!Q:Q,$M$1+ROW(Q9))</f>
        <v>-139.4</v>
      </c>
      <c r="AE9" s="2" cm="1">
        <f t="array" ref="AE9">INDEX(topaz!R:R,$M$1+ROW(R9))</f>
        <v>-152.4</v>
      </c>
      <c r="AF9" s="2" cm="1">
        <f t="array" ref="AF9">INDEX(topaz!S:S,$M$1+ROW(S9))</f>
        <v>0.84399999999999997</v>
      </c>
      <c r="AG9" s="2" cm="1">
        <f t="array" ref="AG9">INDEX(topaz!T:T,$M$1+ROW(T9))</f>
        <v>3.0129297227871801</v>
      </c>
      <c r="AH9" s="2" cm="1">
        <f t="array" ref="AH9">INDEX(topaz!U:U,$M$1+ROW(U9))</f>
        <v>81</v>
      </c>
      <c r="AI9" s="2" cm="1">
        <f t="array" ref="AI9">INDEX(topaz!V:V,$M$1+ROW(V9))</f>
        <v>70</v>
      </c>
      <c r="AJ9" s="2" cm="1">
        <f t="array" ref="AJ9">INDEX(topaz!W:W,$M$1+ROW(W9))</f>
        <v>16.911271609499899</v>
      </c>
      <c r="AK9" s="2" cm="1">
        <f t="array" ref="AK9">INDEX(topaz!X:X,$M$1+ROW(X9))</f>
        <v>0.42360926999999998</v>
      </c>
      <c r="AL9" s="2" cm="1">
        <f t="array" ref="AL9">INDEX(topaz!Y:Y,$M$1+ROW(Y9))</f>
        <v>6.8</v>
      </c>
    </row>
    <row r="10" spans="13:38" x14ac:dyDescent="0.35">
      <c r="N10" s="1"/>
    </row>
    <row r="11" spans="13:38" x14ac:dyDescent="0.35">
      <c r="N11" s="1"/>
    </row>
    <row r="12" spans="13:38" x14ac:dyDescent="0.35">
      <c r="N12" s="1"/>
    </row>
    <row r="13" spans="13:38" x14ac:dyDescent="0.35">
      <c r="N13" s="1"/>
    </row>
    <row r="14" spans="13:38" x14ac:dyDescent="0.35">
      <c r="N14" s="1"/>
    </row>
    <row r="15" spans="13:38" x14ac:dyDescent="0.35">
      <c r="N15" s="1"/>
    </row>
    <row r="16" spans="13:38" x14ac:dyDescent="0.35">
      <c r="N16" s="1"/>
    </row>
    <row r="17" spans="14:14" x14ac:dyDescent="0.35">
      <c r="N17" s="1"/>
    </row>
    <row r="18" spans="14:14" x14ac:dyDescent="0.35">
      <c r="N18" s="1"/>
    </row>
    <row r="19" spans="14:14" x14ac:dyDescent="0.35">
      <c r="N19" s="1"/>
    </row>
    <row r="20" spans="14:14" x14ac:dyDescent="0.35">
      <c r="N20" s="1"/>
    </row>
    <row r="21" spans="14:14" x14ac:dyDescent="0.35">
      <c r="N21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croll Bar 1">
              <controlPr defaultSize="0" autoPict="0">
                <anchor moveWithCells="1">
                  <from>
                    <xdr:col>0</xdr:col>
                    <xdr:colOff>603250</xdr:colOff>
                    <xdr:row>20</xdr:row>
                    <xdr:rowOff>6350</xdr:rowOff>
                  </from>
                  <to>
                    <xdr:col>12</xdr:col>
                    <xdr:colOff>12700</xdr:colOff>
                    <xdr:row>21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71F4-5F93-4988-A0E7-386394DEBB3A}">
  <dimension ref="A1:Y106"/>
  <sheetViews>
    <sheetView topLeftCell="A83" workbookViewId="0">
      <selection activeCell="E97" sqref="E97"/>
    </sheetView>
  </sheetViews>
  <sheetFormatPr defaultRowHeight="14.5" x14ac:dyDescent="0.35"/>
  <cols>
    <col min="1" max="1" width="10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25</v>
      </c>
    </row>
    <row r="2" spans="1:25" x14ac:dyDescent="0.35">
      <c r="A2" s="1">
        <v>46113</v>
      </c>
      <c r="B2">
        <v>0</v>
      </c>
      <c r="C2">
        <v>0</v>
      </c>
      <c r="D2">
        <v>0</v>
      </c>
      <c r="E2">
        <v>5.3</v>
      </c>
      <c r="F2">
        <v>8.1999999999999993</v>
      </c>
      <c r="G2">
        <v>1424</v>
      </c>
      <c r="H2">
        <v>1424</v>
      </c>
      <c r="I2">
        <v>0</v>
      </c>
      <c r="J2">
        <v>-1</v>
      </c>
      <c r="K2">
        <v>0</v>
      </c>
      <c r="L2">
        <v>7.39</v>
      </c>
      <c r="M2">
        <v>-153.19999999999999</v>
      </c>
      <c r="N2">
        <v>-156.19999999999999</v>
      </c>
      <c r="O2">
        <v>0.52</v>
      </c>
      <c r="P2">
        <v>7.38</v>
      </c>
      <c r="Q2">
        <v>-153.4</v>
      </c>
      <c r="R2">
        <v>-155.6</v>
      </c>
      <c r="S2">
        <v>0.52</v>
      </c>
      <c r="T2">
        <v>4.5510000000000002</v>
      </c>
      <c r="U2">
        <v>76</v>
      </c>
      <c r="V2">
        <v>70</v>
      </c>
      <c r="W2">
        <v>17.12</v>
      </c>
      <c r="X2">
        <v>0.42459266699999998</v>
      </c>
      <c r="Y2">
        <f>SUM(C2:F2)</f>
        <v>13.5</v>
      </c>
    </row>
    <row r="3" spans="1:25" x14ac:dyDescent="0.35">
      <c r="A3" s="1">
        <v>46114</v>
      </c>
      <c r="B3">
        <v>0</v>
      </c>
      <c r="C3">
        <v>0</v>
      </c>
      <c r="D3">
        <v>0</v>
      </c>
      <c r="E3">
        <v>4.3</v>
      </c>
      <c r="F3">
        <v>5.6</v>
      </c>
      <c r="G3">
        <v>1414.1</v>
      </c>
      <c r="H3">
        <v>1388.5</v>
      </c>
      <c r="I3">
        <v>25.6</v>
      </c>
      <c r="J3">
        <v>-1</v>
      </c>
      <c r="K3">
        <v>0</v>
      </c>
      <c r="L3">
        <v>7.39</v>
      </c>
      <c r="M3">
        <v>-153.19999999999999</v>
      </c>
      <c r="N3">
        <v>-156.19999999999999</v>
      </c>
      <c r="O3">
        <v>0.52</v>
      </c>
      <c r="P3">
        <v>7.38</v>
      </c>
      <c r="Q3">
        <v>-153.4</v>
      </c>
      <c r="R3">
        <v>-155.6</v>
      </c>
      <c r="S3">
        <v>0.52</v>
      </c>
      <c r="T3">
        <v>4.5831323872634</v>
      </c>
      <c r="U3">
        <v>76</v>
      </c>
      <c r="V3">
        <v>70</v>
      </c>
      <c r="W3">
        <v>17.127545938799901</v>
      </c>
      <c r="X3">
        <v>0.43543389999999998</v>
      </c>
      <c r="Y3">
        <f t="shared" ref="Y3:Y66" si="0">SUM(C3:F3)</f>
        <v>9.8999999999999986</v>
      </c>
    </row>
    <row r="4" spans="1:25" x14ac:dyDescent="0.35">
      <c r="A4" s="1">
        <v>46115</v>
      </c>
      <c r="B4">
        <v>0</v>
      </c>
      <c r="C4">
        <v>0</v>
      </c>
      <c r="D4">
        <v>0</v>
      </c>
      <c r="E4">
        <v>4.3</v>
      </c>
      <c r="F4">
        <v>0.9</v>
      </c>
      <c r="G4">
        <v>1408.9</v>
      </c>
      <c r="H4">
        <v>1380.3</v>
      </c>
      <c r="I4">
        <v>28.6</v>
      </c>
      <c r="J4">
        <v>-1</v>
      </c>
      <c r="K4">
        <v>0</v>
      </c>
      <c r="L4">
        <v>7.38</v>
      </c>
      <c r="M4">
        <v>-150.69999999999999</v>
      </c>
      <c r="N4">
        <v>-155.80000000000001</v>
      </c>
      <c r="O4">
        <v>0.88</v>
      </c>
      <c r="P4">
        <v>7.32</v>
      </c>
      <c r="Q4">
        <v>-149.9</v>
      </c>
      <c r="R4">
        <v>-155.1</v>
      </c>
      <c r="S4">
        <v>0.88</v>
      </c>
      <c r="T4">
        <v>4.6004611964378297</v>
      </c>
      <c r="U4">
        <v>76</v>
      </c>
      <c r="V4">
        <v>70</v>
      </c>
      <c r="W4">
        <v>17.131523355299901</v>
      </c>
      <c r="X4">
        <v>0.43459957999999999</v>
      </c>
      <c r="Y4">
        <f t="shared" si="0"/>
        <v>5.2</v>
      </c>
    </row>
    <row r="5" spans="1:25" x14ac:dyDescent="0.35">
      <c r="A5" s="1">
        <v>46116</v>
      </c>
      <c r="B5">
        <v>0</v>
      </c>
      <c r="C5">
        <v>0</v>
      </c>
      <c r="D5">
        <v>0</v>
      </c>
      <c r="E5">
        <v>5.2</v>
      </c>
      <c r="F5">
        <v>1.2</v>
      </c>
      <c r="G5">
        <v>1402.5</v>
      </c>
      <c r="H5">
        <v>1353.5</v>
      </c>
      <c r="I5">
        <v>49</v>
      </c>
      <c r="J5">
        <v>-1</v>
      </c>
      <c r="K5">
        <v>0</v>
      </c>
      <c r="L5">
        <v>7.2910000000000004</v>
      </c>
      <c r="M5">
        <v>-145.69999999999999</v>
      </c>
      <c r="N5">
        <v>-155.4</v>
      </c>
      <c r="O5">
        <v>1.01</v>
      </c>
      <c r="P5">
        <v>7.133</v>
      </c>
      <c r="Q5">
        <v>-144.9</v>
      </c>
      <c r="R5">
        <v>-154.4</v>
      </c>
      <c r="S5">
        <v>1.01</v>
      </c>
      <c r="T5">
        <v>4.62137712185433</v>
      </c>
      <c r="U5">
        <v>76</v>
      </c>
      <c r="V5">
        <v>70</v>
      </c>
      <c r="W5">
        <v>17.136480616519901</v>
      </c>
      <c r="X5">
        <v>0.43362689999999998</v>
      </c>
      <c r="Y5">
        <f t="shared" si="0"/>
        <v>6.4</v>
      </c>
    </row>
    <row r="6" spans="1:25" x14ac:dyDescent="0.35">
      <c r="A6" s="1">
        <v>46117</v>
      </c>
      <c r="B6">
        <v>0</v>
      </c>
      <c r="C6">
        <v>0</v>
      </c>
      <c r="D6">
        <v>0</v>
      </c>
      <c r="E6">
        <v>4.5</v>
      </c>
      <c r="F6">
        <v>1.1000000000000001</v>
      </c>
      <c r="G6">
        <v>1396.9</v>
      </c>
      <c r="H6">
        <v>1351.5</v>
      </c>
      <c r="I6">
        <v>45.4</v>
      </c>
      <c r="J6">
        <v>-1</v>
      </c>
      <c r="K6">
        <v>0</v>
      </c>
      <c r="L6">
        <v>7.2990000000000004</v>
      </c>
      <c r="M6">
        <v>-143.9</v>
      </c>
      <c r="N6">
        <v>-155</v>
      </c>
      <c r="O6">
        <v>0.84</v>
      </c>
      <c r="P6">
        <v>7.14</v>
      </c>
      <c r="Q6">
        <v>-144.30000000000001</v>
      </c>
      <c r="R6">
        <v>-153.69999999999999</v>
      </c>
      <c r="S6">
        <v>0.84</v>
      </c>
      <c r="T6">
        <v>4.6400655751442397</v>
      </c>
      <c r="U6">
        <v>76</v>
      </c>
      <c r="V6">
        <v>70</v>
      </c>
      <c r="W6">
        <v>17.140979032359901</v>
      </c>
      <c r="X6">
        <v>0.43262161999999998</v>
      </c>
      <c r="Y6">
        <f t="shared" si="0"/>
        <v>5.6</v>
      </c>
    </row>
    <row r="7" spans="1:25" x14ac:dyDescent="0.35">
      <c r="A7" s="1">
        <v>46118</v>
      </c>
      <c r="B7">
        <v>0</v>
      </c>
      <c r="C7">
        <v>0</v>
      </c>
      <c r="D7">
        <v>0</v>
      </c>
      <c r="E7">
        <v>4</v>
      </c>
      <c r="F7">
        <v>1.2</v>
      </c>
      <c r="G7">
        <v>1391.7</v>
      </c>
      <c r="H7">
        <v>1346.7</v>
      </c>
      <c r="I7">
        <v>45</v>
      </c>
      <c r="J7">
        <v>-1</v>
      </c>
      <c r="K7">
        <v>0</v>
      </c>
      <c r="L7">
        <v>7.298</v>
      </c>
      <c r="M7">
        <v>-149.6</v>
      </c>
      <c r="N7">
        <v>-154.6</v>
      </c>
      <c r="O7">
        <v>0.71</v>
      </c>
      <c r="P7">
        <v>7.0919999999999996</v>
      </c>
      <c r="Q7">
        <v>-148.9</v>
      </c>
      <c r="R7">
        <v>-153.9</v>
      </c>
      <c r="S7">
        <v>0.72</v>
      </c>
      <c r="T7">
        <v>4.6576218930801101</v>
      </c>
      <c r="U7">
        <v>76</v>
      </c>
      <c r="V7">
        <v>70</v>
      </c>
      <c r="W7">
        <v>17.14504060834</v>
      </c>
      <c r="X7">
        <v>0.43252133999999998</v>
      </c>
      <c r="Y7">
        <f t="shared" si="0"/>
        <v>5.2</v>
      </c>
    </row>
    <row r="8" spans="1:25" x14ac:dyDescent="0.35">
      <c r="A8" s="1">
        <v>46119</v>
      </c>
      <c r="B8">
        <v>0</v>
      </c>
      <c r="C8">
        <v>0</v>
      </c>
      <c r="D8">
        <v>0</v>
      </c>
      <c r="E8">
        <v>3.6</v>
      </c>
      <c r="F8">
        <v>1.1000000000000001</v>
      </c>
      <c r="G8">
        <v>1387</v>
      </c>
      <c r="H8">
        <v>1342.8</v>
      </c>
      <c r="I8">
        <v>44.2</v>
      </c>
      <c r="J8">
        <v>-1</v>
      </c>
      <c r="K8">
        <v>0</v>
      </c>
      <c r="L8">
        <v>7.2880000000000003</v>
      </c>
      <c r="M8">
        <v>-150.9</v>
      </c>
      <c r="N8">
        <v>-154.4</v>
      </c>
      <c r="O8">
        <v>0.7</v>
      </c>
      <c r="P8">
        <v>7.0549999999999997</v>
      </c>
      <c r="Q8">
        <v>-149.4</v>
      </c>
      <c r="R8">
        <v>-154.1</v>
      </c>
      <c r="S8">
        <v>0.7</v>
      </c>
      <c r="T8">
        <v>4.67398386271425</v>
      </c>
      <c r="U8">
        <v>76</v>
      </c>
      <c r="V8">
        <v>70</v>
      </c>
      <c r="W8">
        <v>17.148709440080001</v>
      </c>
      <c r="X8">
        <v>0.43260269000000001</v>
      </c>
      <c r="Y8">
        <f t="shared" si="0"/>
        <v>4.7</v>
      </c>
    </row>
    <row r="9" spans="1:25" x14ac:dyDescent="0.35">
      <c r="A9" s="1">
        <v>46120</v>
      </c>
      <c r="B9">
        <v>0</v>
      </c>
      <c r="C9">
        <v>0</v>
      </c>
      <c r="D9">
        <v>0</v>
      </c>
      <c r="E9">
        <v>3.8</v>
      </c>
      <c r="F9">
        <v>1.1000000000000001</v>
      </c>
      <c r="G9">
        <v>1382.1</v>
      </c>
      <c r="H9">
        <v>1338</v>
      </c>
      <c r="I9">
        <v>44.1</v>
      </c>
      <c r="J9">
        <v>-1</v>
      </c>
      <c r="K9">
        <v>0</v>
      </c>
      <c r="L9">
        <v>7.2590000000000003</v>
      </c>
      <c r="M9">
        <v>-150.80000000000001</v>
      </c>
      <c r="N9">
        <v>-154.4</v>
      </c>
      <c r="O9">
        <v>0.69</v>
      </c>
      <c r="P9">
        <v>7.0270000000000001</v>
      </c>
      <c r="Q9">
        <v>-149.30000000000001</v>
      </c>
      <c r="R9">
        <v>-154.1</v>
      </c>
      <c r="S9">
        <v>0.69</v>
      </c>
      <c r="T9">
        <v>4.6904885765562696</v>
      </c>
      <c r="U9">
        <v>76</v>
      </c>
      <c r="V9">
        <v>70</v>
      </c>
      <c r="W9">
        <v>17.152690888339901</v>
      </c>
      <c r="X9">
        <v>0.43268320999999998</v>
      </c>
      <c r="Y9">
        <f t="shared" si="0"/>
        <v>4.9000000000000004</v>
      </c>
    </row>
    <row r="10" spans="1:25" x14ac:dyDescent="0.35">
      <c r="A10" s="1">
        <v>46121</v>
      </c>
      <c r="B10">
        <v>0</v>
      </c>
      <c r="C10">
        <v>0</v>
      </c>
      <c r="D10">
        <v>0</v>
      </c>
      <c r="E10">
        <v>4.3</v>
      </c>
      <c r="F10">
        <v>0.95</v>
      </c>
      <c r="G10">
        <v>1376.8</v>
      </c>
      <c r="H10">
        <v>1336.8</v>
      </c>
      <c r="I10">
        <v>40</v>
      </c>
      <c r="J10">
        <v>-1</v>
      </c>
      <c r="K10">
        <v>0</v>
      </c>
      <c r="L10">
        <v>7.2080000000000002</v>
      </c>
      <c r="M10">
        <v>-147.69999999999999</v>
      </c>
      <c r="N10">
        <v>-154</v>
      </c>
      <c r="O10">
        <v>1.03</v>
      </c>
      <c r="P10">
        <v>7.0759999999999996</v>
      </c>
      <c r="Q10">
        <v>-143</v>
      </c>
      <c r="R10">
        <v>-153.9</v>
      </c>
      <c r="S10">
        <v>1.03</v>
      </c>
      <c r="T10">
        <v>4.7085807875527399</v>
      </c>
      <c r="U10">
        <v>75</v>
      </c>
      <c r="V10">
        <v>70</v>
      </c>
      <c r="W10">
        <v>17.1569067567</v>
      </c>
      <c r="X10">
        <v>0.43217285999999999</v>
      </c>
      <c r="Y10">
        <f t="shared" si="0"/>
        <v>5.25</v>
      </c>
    </row>
    <row r="11" spans="1:25" x14ac:dyDescent="0.35">
      <c r="A11" s="1">
        <v>46122</v>
      </c>
      <c r="B11">
        <v>0</v>
      </c>
      <c r="C11">
        <v>0</v>
      </c>
      <c r="D11">
        <v>0</v>
      </c>
      <c r="E11">
        <v>3.8</v>
      </c>
      <c r="F11">
        <v>1.05</v>
      </c>
      <c r="G11">
        <v>1372</v>
      </c>
      <c r="H11">
        <v>1325</v>
      </c>
      <c r="I11">
        <v>47</v>
      </c>
      <c r="J11">
        <v>-1</v>
      </c>
      <c r="K11">
        <v>0</v>
      </c>
      <c r="L11">
        <v>7.1660000000000004</v>
      </c>
      <c r="M11">
        <v>-146.80000000000001</v>
      </c>
      <c r="N11">
        <v>-153.4</v>
      </c>
      <c r="O11">
        <v>0.88</v>
      </c>
      <c r="P11">
        <v>7.02</v>
      </c>
      <c r="Q11">
        <v>-142.19999999999999</v>
      </c>
      <c r="R11">
        <v>-153.5</v>
      </c>
      <c r="S11">
        <v>0.88</v>
      </c>
      <c r="T11">
        <v>4.7257076190605902</v>
      </c>
      <c r="U11">
        <v>75</v>
      </c>
      <c r="V11">
        <v>70</v>
      </c>
      <c r="W11">
        <v>17.1608140403</v>
      </c>
      <c r="X11">
        <v>0.43125121999999999</v>
      </c>
      <c r="Y11">
        <f t="shared" si="0"/>
        <v>4.8499999999999996</v>
      </c>
    </row>
    <row r="12" spans="1:25" x14ac:dyDescent="0.35">
      <c r="A12" s="1">
        <v>46123</v>
      </c>
      <c r="B12">
        <v>0</v>
      </c>
      <c r="C12">
        <v>0</v>
      </c>
      <c r="D12">
        <v>0</v>
      </c>
      <c r="E12">
        <v>4.8</v>
      </c>
      <c r="F12">
        <v>0.05</v>
      </c>
      <c r="G12">
        <v>1367.2</v>
      </c>
      <c r="H12">
        <v>1319.9</v>
      </c>
      <c r="I12">
        <v>47.3</v>
      </c>
      <c r="J12">
        <v>-1</v>
      </c>
      <c r="K12">
        <v>0</v>
      </c>
      <c r="L12">
        <v>7.1310000000000002</v>
      </c>
      <c r="M12">
        <v>-151.6</v>
      </c>
      <c r="N12">
        <v>-153.30000000000001</v>
      </c>
      <c r="O12">
        <v>0.82</v>
      </c>
      <c r="P12">
        <v>7.008</v>
      </c>
      <c r="Q12">
        <v>-150.69999999999999</v>
      </c>
      <c r="R12">
        <v>-153.19999999999999</v>
      </c>
      <c r="S12">
        <v>0.82</v>
      </c>
      <c r="T12">
        <v>4.7427050244666598</v>
      </c>
      <c r="U12">
        <v>75</v>
      </c>
      <c r="V12">
        <v>70</v>
      </c>
      <c r="W12">
        <v>17.164807499259901</v>
      </c>
      <c r="X12">
        <v>0.43093622999999998</v>
      </c>
      <c r="Y12">
        <f t="shared" si="0"/>
        <v>4.8499999999999996</v>
      </c>
    </row>
    <row r="13" spans="1:25" x14ac:dyDescent="0.35">
      <c r="A13" s="1">
        <v>46124</v>
      </c>
      <c r="B13">
        <v>0</v>
      </c>
      <c r="C13">
        <v>0</v>
      </c>
      <c r="D13">
        <v>0</v>
      </c>
      <c r="E13">
        <v>4.7</v>
      </c>
      <c r="F13">
        <v>0</v>
      </c>
      <c r="G13">
        <v>1362.4</v>
      </c>
      <c r="H13">
        <v>1316.3</v>
      </c>
      <c r="I13">
        <v>46.1</v>
      </c>
      <c r="J13">
        <v>-1</v>
      </c>
      <c r="K13">
        <v>0</v>
      </c>
      <c r="L13">
        <v>7.1109999999999998</v>
      </c>
      <c r="M13">
        <v>-148.80000000000001</v>
      </c>
      <c r="N13">
        <v>-153.30000000000001</v>
      </c>
      <c r="O13">
        <v>0.81599999999999995</v>
      </c>
      <c r="P13">
        <v>6.9889999999999999</v>
      </c>
      <c r="Q13">
        <v>-147.1</v>
      </c>
      <c r="R13">
        <v>-153.1</v>
      </c>
      <c r="S13">
        <v>0.81899999999999995</v>
      </c>
      <c r="T13">
        <v>4.7588018149782396</v>
      </c>
      <c r="U13">
        <v>75</v>
      </c>
      <c r="V13">
        <v>70</v>
      </c>
      <c r="W13">
        <v>17.168690761459999</v>
      </c>
      <c r="X13">
        <v>0.43091717000000002</v>
      </c>
      <c r="Y13">
        <f t="shared" si="0"/>
        <v>4.7</v>
      </c>
    </row>
    <row r="14" spans="1:25" x14ac:dyDescent="0.35">
      <c r="A14" s="1">
        <v>46125</v>
      </c>
      <c r="B14">
        <v>0</v>
      </c>
      <c r="C14">
        <v>0</v>
      </c>
      <c r="D14">
        <v>0</v>
      </c>
      <c r="E14">
        <v>4.5</v>
      </c>
      <c r="F14">
        <v>0</v>
      </c>
      <c r="G14">
        <v>1358</v>
      </c>
      <c r="H14">
        <v>1310.3</v>
      </c>
      <c r="I14">
        <v>47.7</v>
      </c>
      <c r="J14">
        <v>-1</v>
      </c>
      <c r="K14">
        <v>0</v>
      </c>
      <c r="L14">
        <v>7.165</v>
      </c>
      <c r="M14">
        <v>-146.9</v>
      </c>
      <c r="N14">
        <v>-152.30000000000001</v>
      </c>
      <c r="O14">
        <v>0.85199999999999998</v>
      </c>
      <c r="P14">
        <v>6.9059999999999997</v>
      </c>
      <c r="Q14">
        <v>-143.19999999999999</v>
      </c>
      <c r="R14">
        <v>-153</v>
      </c>
      <c r="S14">
        <v>0.85399999999999998</v>
      </c>
      <c r="T14">
        <v>4.7748342439472999</v>
      </c>
      <c r="U14">
        <v>75</v>
      </c>
      <c r="V14">
        <v>70</v>
      </c>
      <c r="W14">
        <v>17.172403688820001</v>
      </c>
      <c r="X14">
        <v>0.42988694999999999</v>
      </c>
      <c r="Y14">
        <f t="shared" si="0"/>
        <v>4.5</v>
      </c>
    </row>
    <row r="15" spans="1:25" x14ac:dyDescent="0.35">
      <c r="A15" s="1">
        <v>46126</v>
      </c>
      <c r="B15">
        <v>0</v>
      </c>
      <c r="C15">
        <v>0</v>
      </c>
      <c r="D15">
        <v>0</v>
      </c>
      <c r="E15">
        <v>4.75</v>
      </c>
      <c r="F15">
        <v>0.05</v>
      </c>
      <c r="G15">
        <v>1353.2</v>
      </c>
      <c r="H15">
        <v>1306.8</v>
      </c>
      <c r="I15">
        <v>46.4</v>
      </c>
      <c r="J15">
        <v>-1</v>
      </c>
      <c r="K15">
        <v>0</v>
      </c>
      <c r="L15">
        <v>7.101</v>
      </c>
      <c r="M15">
        <v>-152.1</v>
      </c>
      <c r="N15">
        <v>-152.6</v>
      </c>
      <c r="O15">
        <v>0.92700000000000005</v>
      </c>
      <c r="P15">
        <v>6.9370000000000003</v>
      </c>
      <c r="Q15">
        <v>-152.30000000000001</v>
      </c>
      <c r="R15">
        <v>-152.30000000000001</v>
      </c>
      <c r="S15">
        <v>0.93200000000000005</v>
      </c>
      <c r="T15">
        <v>4.7919667679571996</v>
      </c>
      <c r="U15">
        <v>75</v>
      </c>
      <c r="V15">
        <v>70</v>
      </c>
      <c r="W15">
        <v>17.1764392275199</v>
      </c>
      <c r="X15">
        <v>0.42958967999999997</v>
      </c>
      <c r="Y15">
        <f t="shared" si="0"/>
        <v>4.8</v>
      </c>
    </row>
    <row r="16" spans="1:25" x14ac:dyDescent="0.35">
      <c r="A16" s="1">
        <v>46127</v>
      </c>
      <c r="B16">
        <v>0</v>
      </c>
      <c r="C16">
        <v>0</v>
      </c>
      <c r="D16">
        <v>0</v>
      </c>
      <c r="E16">
        <v>4.5</v>
      </c>
      <c r="F16">
        <v>0</v>
      </c>
      <c r="G16">
        <v>1348.6</v>
      </c>
      <c r="H16">
        <v>1306.4000000000001</v>
      </c>
      <c r="I16">
        <v>42.2</v>
      </c>
      <c r="J16">
        <v>-1</v>
      </c>
      <c r="K16">
        <v>0</v>
      </c>
      <c r="L16">
        <v>6.2939999999999996</v>
      </c>
      <c r="M16">
        <v>-151.4</v>
      </c>
      <c r="N16">
        <v>-152.1</v>
      </c>
      <c r="O16">
        <v>0.98499999999999999</v>
      </c>
      <c r="P16">
        <v>7.907</v>
      </c>
      <c r="Q16">
        <v>-152</v>
      </c>
      <c r="R16">
        <v>-152</v>
      </c>
      <c r="S16">
        <v>0.99099999999999999</v>
      </c>
      <c r="T16">
        <v>4.80847048596927</v>
      </c>
      <c r="U16">
        <v>75</v>
      </c>
      <c r="V16">
        <v>70</v>
      </c>
      <c r="W16">
        <v>17.180164165579999</v>
      </c>
      <c r="X16">
        <v>0.42886290999999999</v>
      </c>
      <c r="Y16">
        <f t="shared" si="0"/>
        <v>4.5</v>
      </c>
    </row>
    <row r="17" spans="1:25" x14ac:dyDescent="0.35">
      <c r="A17" s="1">
        <v>46128</v>
      </c>
      <c r="B17">
        <v>0</v>
      </c>
      <c r="C17">
        <v>0</v>
      </c>
      <c r="D17">
        <v>0</v>
      </c>
      <c r="E17">
        <v>4.55</v>
      </c>
      <c r="F17">
        <v>0</v>
      </c>
      <c r="G17">
        <v>1344.1</v>
      </c>
      <c r="H17">
        <v>1301.5</v>
      </c>
      <c r="I17">
        <v>42.6</v>
      </c>
      <c r="J17">
        <v>-1</v>
      </c>
      <c r="K17">
        <v>0</v>
      </c>
      <c r="L17">
        <v>6.8310000000000004</v>
      </c>
      <c r="M17">
        <v>-151.5</v>
      </c>
      <c r="N17">
        <v>-151.80000000000001</v>
      </c>
      <c r="O17">
        <v>1.038</v>
      </c>
      <c r="P17">
        <v>7.1959999999999997</v>
      </c>
      <c r="Q17">
        <v>-151.6</v>
      </c>
      <c r="R17">
        <v>-151.6</v>
      </c>
      <c r="S17">
        <v>1.038</v>
      </c>
      <c r="T17">
        <v>4.8245348113731099</v>
      </c>
      <c r="U17">
        <v>75</v>
      </c>
      <c r="V17">
        <v>70</v>
      </c>
      <c r="W17">
        <v>17.184033401199901</v>
      </c>
      <c r="X17">
        <v>0.42825932999999999</v>
      </c>
      <c r="Y17">
        <f t="shared" si="0"/>
        <v>4.55</v>
      </c>
    </row>
    <row r="18" spans="1:25" x14ac:dyDescent="0.35">
      <c r="A18" s="1">
        <v>46129</v>
      </c>
      <c r="B18">
        <v>0</v>
      </c>
      <c r="C18">
        <v>0</v>
      </c>
      <c r="D18">
        <v>0</v>
      </c>
      <c r="E18">
        <v>4.3499999999999996</v>
      </c>
      <c r="F18">
        <v>0</v>
      </c>
      <c r="G18">
        <v>1339.8</v>
      </c>
      <c r="H18">
        <v>1298.9000000000001</v>
      </c>
      <c r="I18">
        <v>40.9</v>
      </c>
      <c r="J18">
        <v>-1</v>
      </c>
      <c r="K18">
        <v>0</v>
      </c>
      <c r="L18">
        <v>6.8330000000000002</v>
      </c>
      <c r="M18">
        <v>-151.5</v>
      </c>
      <c r="N18">
        <v>-151.5</v>
      </c>
      <c r="O18">
        <v>1.0620000000000001</v>
      </c>
      <c r="P18">
        <v>7.1820000000000004</v>
      </c>
      <c r="Q18">
        <v>-151.4</v>
      </c>
      <c r="R18">
        <v>-151.30000000000001</v>
      </c>
      <c r="S18">
        <v>1.0649999999999999</v>
      </c>
      <c r="T18">
        <v>4.84037594740545</v>
      </c>
      <c r="U18">
        <v>75</v>
      </c>
      <c r="V18">
        <v>70</v>
      </c>
      <c r="W18">
        <v>17.187804450759899</v>
      </c>
      <c r="X18">
        <v>0.42774833000000001</v>
      </c>
      <c r="Y18">
        <f t="shared" si="0"/>
        <v>4.3499999999999996</v>
      </c>
    </row>
    <row r="19" spans="1:25" x14ac:dyDescent="0.35">
      <c r="A19" s="1">
        <v>46130</v>
      </c>
      <c r="B19">
        <v>0</v>
      </c>
      <c r="C19">
        <v>0</v>
      </c>
      <c r="D19">
        <v>0</v>
      </c>
      <c r="E19">
        <v>4.3</v>
      </c>
      <c r="F19">
        <v>0</v>
      </c>
      <c r="G19">
        <v>1335.4</v>
      </c>
      <c r="H19">
        <v>1295</v>
      </c>
      <c r="I19">
        <v>40.4</v>
      </c>
      <c r="J19">
        <v>-1</v>
      </c>
      <c r="K19">
        <v>0</v>
      </c>
      <c r="L19">
        <v>6.8179999999999996</v>
      </c>
      <c r="M19">
        <v>-151.19999999999999</v>
      </c>
      <c r="N19">
        <v>-151.30000000000001</v>
      </c>
      <c r="O19">
        <v>1.0840000000000001</v>
      </c>
      <c r="P19">
        <v>7.16</v>
      </c>
      <c r="Q19">
        <v>-151.30000000000001</v>
      </c>
      <c r="R19">
        <v>-151.19999999999999</v>
      </c>
      <c r="S19">
        <v>1.0880000000000001</v>
      </c>
      <c r="T19">
        <v>4.8562185377567397</v>
      </c>
      <c r="U19">
        <v>75</v>
      </c>
      <c r="V19">
        <v>70</v>
      </c>
      <c r="W19">
        <v>17.191461271799898</v>
      </c>
      <c r="X19">
        <v>0.42753258</v>
      </c>
      <c r="Y19">
        <f t="shared" si="0"/>
        <v>4.3</v>
      </c>
    </row>
    <row r="20" spans="1:25" x14ac:dyDescent="0.35">
      <c r="A20" s="1">
        <v>46131</v>
      </c>
      <c r="B20">
        <v>0</v>
      </c>
      <c r="C20">
        <v>0</v>
      </c>
      <c r="D20">
        <v>0</v>
      </c>
      <c r="E20">
        <v>4.1500000000000004</v>
      </c>
      <c r="F20">
        <v>0.1</v>
      </c>
      <c r="G20">
        <v>1331.2</v>
      </c>
      <c r="H20">
        <v>1292.9000000000001</v>
      </c>
      <c r="I20">
        <v>38.299999999999997</v>
      </c>
      <c r="J20">
        <v>-1</v>
      </c>
      <c r="K20">
        <v>0</v>
      </c>
      <c r="L20">
        <v>6.81</v>
      </c>
      <c r="M20">
        <v>-150.69999999999999</v>
      </c>
      <c r="N20">
        <v>-151.19999999999999</v>
      </c>
      <c r="O20">
        <v>1.0940000000000001</v>
      </c>
      <c r="P20">
        <v>7.149</v>
      </c>
      <c r="Q20">
        <v>-151.1</v>
      </c>
      <c r="R20">
        <v>-151.1</v>
      </c>
      <c r="S20">
        <v>1.0980000000000001</v>
      </c>
      <c r="T20">
        <v>4.8722550442852404</v>
      </c>
      <c r="U20">
        <v>75</v>
      </c>
      <c r="V20">
        <v>70</v>
      </c>
      <c r="W20">
        <v>17.195045944059899</v>
      </c>
      <c r="X20">
        <v>0.42741142999999998</v>
      </c>
      <c r="Y20">
        <f t="shared" si="0"/>
        <v>4.25</v>
      </c>
    </row>
    <row r="21" spans="1:25" x14ac:dyDescent="0.35">
      <c r="A21" s="1">
        <v>46132</v>
      </c>
      <c r="B21">
        <v>0</v>
      </c>
      <c r="C21">
        <v>0</v>
      </c>
      <c r="D21">
        <v>0</v>
      </c>
      <c r="E21">
        <v>4</v>
      </c>
      <c r="F21">
        <v>0.25</v>
      </c>
      <c r="G21">
        <v>1327</v>
      </c>
      <c r="H21">
        <v>1284.0999999999999</v>
      </c>
      <c r="I21">
        <v>42.9</v>
      </c>
      <c r="J21">
        <v>-1</v>
      </c>
      <c r="K21">
        <v>0</v>
      </c>
      <c r="L21">
        <v>6.7539999999999996</v>
      </c>
      <c r="M21">
        <v>-150.69999999999999</v>
      </c>
      <c r="N21">
        <v>-151.1</v>
      </c>
      <c r="O21">
        <v>1.1020000000000001</v>
      </c>
      <c r="P21">
        <v>7.1120000000000001</v>
      </c>
      <c r="Q21">
        <v>-151.1</v>
      </c>
      <c r="R21">
        <v>-151</v>
      </c>
      <c r="S21">
        <v>1.1060000000000001</v>
      </c>
      <c r="T21">
        <v>4.8877337184862304</v>
      </c>
      <c r="U21">
        <v>75</v>
      </c>
      <c r="V21">
        <v>70</v>
      </c>
      <c r="W21">
        <v>17.1988330360799</v>
      </c>
      <c r="X21">
        <v>0.42729316000000001</v>
      </c>
      <c r="Y21">
        <f t="shared" si="0"/>
        <v>4.25</v>
      </c>
    </row>
    <row r="22" spans="1:25" x14ac:dyDescent="0.35">
      <c r="A22" s="1">
        <v>46133</v>
      </c>
      <c r="B22">
        <v>0</v>
      </c>
      <c r="C22">
        <v>0</v>
      </c>
      <c r="D22">
        <v>0</v>
      </c>
      <c r="E22">
        <v>3.6</v>
      </c>
      <c r="F22">
        <v>0.2</v>
      </c>
      <c r="G22">
        <v>1323.2</v>
      </c>
      <c r="H22">
        <v>1283.8</v>
      </c>
      <c r="I22">
        <v>39.4</v>
      </c>
      <c r="J22">
        <v>-1</v>
      </c>
      <c r="K22">
        <v>0</v>
      </c>
      <c r="L22">
        <v>6.7629999999999999</v>
      </c>
      <c r="M22">
        <v>-150.5</v>
      </c>
      <c r="N22">
        <v>-151</v>
      </c>
      <c r="O22">
        <v>1.107</v>
      </c>
      <c r="P22">
        <v>7.1040000000000001</v>
      </c>
      <c r="Q22">
        <v>-150.9</v>
      </c>
      <c r="R22">
        <v>-150.9</v>
      </c>
      <c r="S22">
        <v>1.111</v>
      </c>
      <c r="T22">
        <v>4.9019872513338703</v>
      </c>
      <c r="U22">
        <v>75</v>
      </c>
      <c r="V22">
        <v>70</v>
      </c>
      <c r="W22">
        <v>17.202141208499899</v>
      </c>
      <c r="X22">
        <v>0.42716632999999998</v>
      </c>
      <c r="Y22">
        <f t="shared" si="0"/>
        <v>3.8000000000000003</v>
      </c>
    </row>
    <row r="23" spans="1:25" x14ac:dyDescent="0.35">
      <c r="A23" s="1">
        <v>46134</v>
      </c>
      <c r="B23">
        <v>0</v>
      </c>
      <c r="C23">
        <v>0</v>
      </c>
      <c r="D23">
        <v>0</v>
      </c>
      <c r="E23">
        <v>3.9</v>
      </c>
      <c r="F23">
        <v>0.3</v>
      </c>
      <c r="G23">
        <v>1319</v>
      </c>
      <c r="H23">
        <v>1283.7</v>
      </c>
      <c r="I23">
        <v>35.299999999999997</v>
      </c>
      <c r="J23">
        <v>-1</v>
      </c>
      <c r="K23">
        <v>0</v>
      </c>
      <c r="L23">
        <v>6.7679999999999998</v>
      </c>
      <c r="M23">
        <v>-150.19999999999999</v>
      </c>
      <c r="N23">
        <v>-151</v>
      </c>
      <c r="O23">
        <v>1.107</v>
      </c>
      <c r="P23">
        <v>7.0979999999999999</v>
      </c>
      <c r="Q23">
        <v>-150.5</v>
      </c>
      <c r="R23">
        <v>-150.80000000000001</v>
      </c>
      <c r="S23">
        <v>1.111</v>
      </c>
      <c r="T23">
        <v>4.91742873936811</v>
      </c>
      <c r="U23">
        <v>75</v>
      </c>
      <c r="V23">
        <v>70</v>
      </c>
      <c r="W23">
        <v>17.2058280985799</v>
      </c>
      <c r="X23">
        <v>0.42714232000000002</v>
      </c>
      <c r="Y23">
        <f t="shared" si="0"/>
        <v>4.2</v>
      </c>
    </row>
    <row r="24" spans="1:25" x14ac:dyDescent="0.35">
      <c r="A24" s="1">
        <v>46135</v>
      </c>
      <c r="B24">
        <v>0</v>
      </c>
      <c r="C24">
        <v>0</v>
      </c>
      <c r="D24">
        <v>0</v>
      </c>
      <c r="E24">
        <v>3.5</v>
      </c>
      <c r="F24">
        <v>0.2</v>
      </c>
      <c r="G24">
        <v>1315.2</v>
      </c>
      <c r="H24">
        <v>1278.7</v>
      </c>
      <c r="I24">
        <v>36.5</v>
      </c>
      <c r="J24">
        <v>-1</v>
      </c>
      <c r="K24">
        <v>0</v>
      </c>
      <c r="L24">
        <v>6.7549999999999999</v>
      </c>
      <c r="M24">
        <v>-150.19999999999999</v>
      </c>
      <c r="N24">
        <v>-150.9</v>
      </c>
      <c r="O24">
        <v>1.113</v>
      </c>
      <c r="P24">
        <v>7.0570000000000004</v>
      </c>
      <c r="Q24">
        <v>-150.4</v>
      </c>
      <c r="R24">
        <v>-150.80000000000001</v>
      </c>
      <c r="S24">
        <v>1.117</v>
      </c>
      <c r="T24">
        <v>4.93208075876381</v>
      </c>
      <c r="U24">
        <v>75</v>
      </c>
      <c r="V24">
        <v>70</v>
      </c>
      <c r="W24">
        <v>17.2090781488</v>
      </c>
      <c r="X24">
        <v>0.42711461000000001</v>
      </c>
      <c r="Y24">
        <f t="shared" si="0"/>
        <v>3.7</v>
      </c>
    </row>
    <row r="25" spans="1:25" x14ac:dyDescent="0.35">
      <c r="A25" s="1">
        <v>46136</v>
      </c>
      <c r="B25">
        <v>0</v>
      </c>
      <c r="C25">
        <v>0</v>
      </c>
      <c r="D25">
        <v>0</v>
      </c>
      <c r="E25">
        <v>3.75</v>
      </c>
      <c r="F25">
        <v>0.15</v>
      </c>
      <c r="G25">
        <v>1311.4</v>
      </c>
      <c r="H25">
        <v>1274</v>
      </c>
      <c r="I25">
        <v>37.4</v>
      </c>
      <c r="J25">
        <v>-1</v>
      </c>
      <c r="K25">
        <v>0</v>
      </c>
      <c r="L25">
        <v>6.7160000000000002</v>
      </c>
      <c r="M25">
        <v>-150.19999999999999</v>
      </c>
      <c r="N25">
        <v>-150.9</v>
      </c>
      <c r="O25">
        <v>1.137</v>
      </c>
      <c r="P25">
        <v>7.0460000000000003</v>
      </c>
      <c r="Q25">
        <v>-150.4</v>
      </c>
      <c r="R25">
        <v>-150.69999999999999</v>
      </c>
      <c r="S25">
        <v>1.1399999999999999</v>
      </c>
      <c r="T25">
        <v>4.9463985972457998</v>
      </c>
      <c r="U25">
        <v>75</v>
      </c>
      <c r="V25">
        <v>70</v>
      </c>
      <c r="W25">
        <v>17.212556656059999</v>
      </c>
      <c r="X25">
        <v>0.42708591000000001</v>
      </c>
      <c r="Y25">
        <f t="shared" si="0"/>
        <v>3.9</v>
      </c>
    </row>
    <row r="26" spans="1:25" x14ac:dyDescent="0.35">
      <c r="A26" s="1">
        <v>46137</v>
      </c>
      <c r="B26">
        <v>0</v>
      </c>
      <c r="C26">
        <v>0</v>
      </c>
      <c r="D26">
        <v>0</v>
      </c>
      <c r="E26">
        <v>3.55</v>
      </c>
      <c r="F26">
        <v>0.15</v>
      </c>
      <c r="G26">
        <v>1307.5999999999999</v>
      </c>
      <c r="H26">
        <v>1269.5</v>
      </c>
      <c r="I26">
        <v>38.1</v>
      </c>
      <c r="J26">
        <v>-1</v>
      </c>
      <c r="K26">
        <v>0</v>
      </c>
      <c r="L26">
        <v>6.6920000000000002</v>
      </c>
      <c r="M26">
        <v>-150.30000000000001</v>
      </c>
      <c r="N26">
        <v>-150.80000000000001</v>
      </c>
      <c r="O26">
        <v>1.155</v>
      </c>
      <c r="P26">
        <v>7.0220000000000002</v>
      </c>
      <c r="Q26">
        <v>-150.6</v>
      </c>
      <c r="R26">
        <v>-150.69999999999999</v>
      </c>
      <c r="S26">
        <v>1.1579999999999999</v>
      </c>
      <c r="T26">
        <v>4.9609227395247499</v>
      </c>
      <c r="U26">
        <v>75</v>
      </c>
      <c r="V26">
        <v>70</v>
      </c>
      <c r="W26">
        <v>17.215806706279999</v>
      </c>
      <c r="X26">
        <v>0.42705821999999999</v>
      </c>
      <c r="Y26">
        <f t="shared" si="0"/>
        <v>3.6999999999999997</v>
      </c>
    </row>
    <row r="27" spans="1:25" x14ac:dyDescent="0.35">
      <c r="A27" s="1">
        <v>46138</v>
      </c>
      <c r="B27">
        <v>0</v>
      </c>
      <c r="C27">
        <v>0</v>
      </c>
      <c r="D27">
        <v>0</v>
      </c>
      <c r="E27">
        <v>4.6500000000000004</v>
      </c>
      <c r="F27">
        <v>0.7</v>
      </c>
      <c r="G27">
        <v>1302.3</v>
      </c>
      <c r="H27">
        <v>1270.4000000000001</v>
      </c>
      <c r="I27">
        <v>31.9</v>
      </c>
      <c r="J27">
        <v>-1</v>
      </c>
      <c r="K27">
        <v>0</v>
      </c>
      <c r="L27">
        <v>6.7</v>
      </c>
      <c r="M27">
        <v>-147.80000000000001</v>
      </c>
      <c r="N27">
        <v>-150.80000000000001</v>
      </c>
      <c r="O27">
        <v>1.1080000000000001</v>
      </c>
      <c r="P27">
        <v>7.0209999999999999</v>
      </c>
      <c r="Q27">
        <v>-148.4</v>
      </c>
      <c r="R27">
        <v>-150.69999999999999</v>
      </c>
      <c r="S27">
        <v>1.1120000000000001</v>
      </c>
      <c r="T27">
        <v>4.9813051968378401</v>
      </c>
      <c r="U27">
        <v>75</v>
      </c>
      <c r="V27">
        <v>70</v>
      </c>
      <c r="W27">
        <v>17.2207098770599</v>
      </c>
      <c r="X27">
        <v>0.42715869000000001</v>
      </c>
      <c r="Y27">
        <f t="shared" si="0"/>
        <v>5.3500000000000005</v>
      </c>
    </row>
    <row r="28" spans="1:25" x14ac:dyDescent="0.35">
      <c r="A28" s="1">
        <v>46139</v>
      </c>
      <c r="B28">
        <v>0</v>
      </c>
      <c r="C28">
        <v>0</v>
      </c>
      <c r="D28">
        <v>0</v>
      </c>
      <c r="E28">
        <v>5.6</v>
      </c>
      <c r="F28">
        <v>1</v>
      </c>
      <c r="G28">
        <v>1295.7</v>
      </c>
      <c r="H28">
        <v>1278.9000000000001</v>
      </c>
      <c r="I28">
        <v>16.8</v>
      </c>
      <c r="J28">
        <v>-1</v>
      </c>
      <c r="K28">
        <v>0</v>
      </c>
      <c r="L28">
        <v>6.7380000000000004</v>
      </c>
      <c r="M28">
        <v>-145.80000000000001</v>
      </c>
      <c r="N28">
        <v>-151.1</v>
      </c>
      <c r="O28">
        <v>1.05</v>
      </c>
      <c r="P28">
        <v>7.0540000000000003</v>
      </c>
      <c r="Q28">
        <v>-147.4</v>
      </c>
      <c r="R28">
        <v>-151</v>
      </c>
      <c r="S28">
        <v>1.054</v>
      </c>
      <c r="T28">
        <v>5.0071755121355501</v>
      </c>
      <c r="U28">
        <v>75</v>
      </c>
      <c r="V28">
        <v>70</v>
      </c>
      <c r="W28">
        <v>17.226640935359999</v>
      </c>
      <c r="X28">
        <v>0.42786632000000002</v>
      </c>
      <c r="Y28">
        <f t="shared" si="0"/>
        <v>6.6</v>
      </c>
    </row>
    <row r="29" spans="1:25" x14ac:dyDescent="0.35">
      <c r="A29" s="1">
        <v>46140</v>
      </c>
      <c r="B29">
        <v>0</v>
      </c>
      <c r="C29">
        <v>0</v>
      </c>
      <c r="D29">
        <v>0</v>
      </c>
      <c r="E29">
        <v>6</v>
      </c>
      <c r="F29">
        <v>1</v>
      </c>
      <c r="G29">
        <v>1288.7</v>
      </c>
      <c r="H29">
        <v>1282.9000000000001</v>
      </c>
      <c r="I29">
        <v>5.8</v>
      </c>
      <c r="J29">
        <v>-1</v>
      </c>
      <c r="K29">
        <v>0</v>
      </c>
      <c r="L29">
        <v>6.75</v>
      </c>
      <c r="M29">
        <v>-145.4</v>
      </c>
      <c r="N29">
        <v>-151.4</v>
      </c>
      <c r="O29">
        <v>1.008</v>
      </c>
      <c r="P29">
        <v>7.0620000000000003</v>
      </c>
      <c r="Q29">
        <v>-147.30000000000001</v>
      </c>
      <c r="R29">
        <v>-151.30000000000001</v>
      </c>
      <c r="S29">
        <v>1.012</v>
      </c>
      <c r="T29">
        <v>5.03440095852108</v>
      </c>
      <c r="U29">
        <v>75</v>
      </c>
      <c r="V29">
        <v>70</v>
      </c>
      <c r="W29">
        <v>17.233121046160001</v>
      </c>
      <c r="X29">
        <v>0.42858603000000001</v>
      </c>
      <c r="Y29">
        <f t="shared" si="0"/>
        <v>7</v>
      </c>
    </row>
    <row r="30" spans="1:25" x14ac:dyDescent="0.35">
      <c r="A30" s="1">
        <v>46141</v>
      </c>
      <c r="B30">
        <v>0</v>
      </c>
      <c r="C30">
        <v>0</v>
      </c>
      <c r="D30">
        <v>0</v>
      </c>
      <c r="E30">
        <v>4.25</v>
      </c>
      <c r="F30">
        <v>0.4</v>
      </c>
      <c r="G30">
        <v>1284</v>
      </c>
      <c r="H30">
        <v>1270.8</v>
      </c>
      <c r="I30">
        <v>13.2</v>
      </c>
      <c r="J30">
        <v>-1</v>
      </c>
      <c r="K30">
        <v>0</v>
      </c>
      <c r="L30">
        <v>6.6790000000000003</v>
      </c>
      <c r="M30">
        <v>-150.5</v>
      </c>
      <c r="N30">
        <v>-151.4</v>
      </c>
      <c r="O30">
        <v>1.0389999999999999</v>
      </c>
      <c r="P30">
        <v>6.9989999999999997</v>
      </c>
      <c r="Q30">
        <v>-150.80000000000001</v>
      </c>
      <c r="R30">
        <v>-151.30000000000001</v>
      </c>
      <c r="S30">
        <v>1.0429999999999999</v>
      </c>
      <c r="T30">
        <v>5.0524734904423401</v>
      </c>
      <c r="U30">
        <v>75</v>
      </c>
      <c r="V30">
        <v>70</v>
      </c>
      <c r="W30">
        <v>17.237465169619998</v>
      </c>
      <c r="X30">
        <v>0.42867495</v>
      </c>
      <c r="Y30">
        <f t="shared" si="0"/>
        <v>4.6500000000000004</v>
      </c>
    </row>
    <row r="31" spans="1:25" x14ac:dyDescent="0.35">
      <c r="A31" s="1">
        <v>46142</v>
      </c>
      <c r="B31">
        <v>0</v>
      </c>
      <c r="C31">
        <v>0</v>
      </c>
      <c r="D31">
        <v>0</v>
      </c>
      <c r="E31">
        <v>3.1</v>
      </c>
      <c r="F31">
        <v>0</v>
      </c>
      <c r="G31">
        <v>1281</v>
      </c>
      <c r="H31">
        <v>1269.8</v>
      </c>
      <c r="I31">
        <v>11.2</v>
      </c>
      <c r="J31">
        <v>-1</v>
      </c>
      <c r="K31">
        <v>0</v>
      </c>
      <c r="L31">
        <v>6.6879999999999997</v>
      </c>
      <c r="M31">
        <v>-150.6</v>
      </c>
      <c r="N31">
        <v>-151.30000000000001</v>
      </c>
      <c r="O31">
        <v>1.071</v>
      </c>
      <c r="P31">
        <v>6.9859999999999998</v>
      </c>
      <c r="Q31">
        <v>-151.19999999999999</v>
      </c>
      <c r="R31">
        <v>-151.1</v>
      </c>
      <c r="S31">
        <v>1.0760000000000001</v>
      </c>
      <c r="T31">
        <v>5.0649108213466603</v>
      </c>
      <c r="U31">
        <v>75</v>
      </c>
      <c r="V31">
        <v>70</v>
      </c>
      <c r="W31">
        <v>17.2403405339399</v>
      </c>
      <c r="X31">
        <v>0.42843864999999998</v>
      </c>
      <c r="Y31">
        <f t="shared" si="0"/>
        <v>3.1</v>
      </c>
    </row>
    <row r="32" spans="1:25" x14ac:dyDescent="0.35">
      <c r="A32" s="1">
        <v>46143</v>
      </c>
      <c r="B32">
        <v>0</v>
      </c>
      <c r="C32">
        <v>0</v>
      </c>
      <c r="D32">
        <v>0</v>
      </c>
      <c r="E32">
        <v>3.2</v>
      </c>
      <c r="F32">
        <v>0</v>
      </c>
      <c r="G32">
        <v>1277.8</v>
      </c>
      <c r="H32">
        <v>1264</v>
      </c>
      <c r="I32">
        <v>13.8</v>
      </c>
      <c r="J32">
        <v>-1</v>
      </c>
      <c r="K32">
        <v>0</v>
      </c>
      <c r="L32">
        <v>6.6609999999999996</v>
      </c>
      <c r="M32">
        <v>-150.30000000000001</v>
      </c>
      <c r="N32">
        <v>-151.1</v>
      </c>
      <c r="O32">
        <v>1.0900000000000001</v>
      </c>
      <c r="P32">
        <v>6.9610000000000003</v>
      </c>
      <c r="Q32">
        <v>-150.4</v>
      </c>
      <c r="R32">
        <v>-150.9</v>
      </c>
      <c r="S32">
        <v>1.0940000000000001</v>
      </c>
      <c r="T32">
        <v>5.0778815393444203</v>
      </c>
      <c r="U32">
        <v>75</v>
      </c>
      <c r="V32">
        <v>70</v>
      </c>
      <c r="W32">
        <v>17.243370190639901</v>
      </c>
      <c r="X32">
        <v>0.42811008</v>
      </c>
      <c r="Y32">
        <f t="shared" si="0"/>
        <v>3.2</v>
      </c>
    </row>
    <row r="33" spans="1:25" x14ac:dyDescent="0.35">
      <c r="A33" s="1">
        <v>46144</v>
      </c>
      <c r="B33">
        <v>0</v>
      </c>
      <c r="C33">
        <v>1.8</v>
      </c>
      <c r="D33">
        <v>0</v>
      </c>
      <c r="E33">
        <v>3.3</v>
      </c>
      <c r="F33">
        <v>0</v>
      </c>
      <c r="G33">
        <v>1272.5999999999999</v>
      </c>
      <c r="H33">
        <v>1260.0999999999999</v>
      </c>
      <c r="I33">
        <v>12.5</v>
      </c>
      <c r="J33">
        <v>-1</v>
      </c>
      <c r="K33">
        <v>0</v>
      </c>
      <c r="L33">
        <v>6.65</v>
      </c>
      <c r="M33">
        <v>-149.4</v>
      </c>
      <c r="N33">
        <v>-150.9</v>
      </c>
      <c r="O33">
        <v>1.121</v>
      </c>
      <c r="P33">
        <v>6.9370000000000003</v>
      </c>
      <c r="Q33">
        <v>-150.19999999999999</v>
      </c>
      <c r="R33">
        <v>-150.80000000000001</v>
      </c>
      <c r="S33">
        <v>1.125</v>
      </c>
      <c r="T33">
        <v>5.0913082673600201</v>
      </c>
      <c r="U33">
        <v>75</v>
      </c>
      <c r="V33">
        <v>70</v>
      </c>
      <c r="W33">
        <v>17.246425884619999</v>
      </c>
      <c r="X33">
        <v>0.42788292999999999</v>
      </c>
      <c r="Y33">
        <f t="shared" si="0"/>
        <v>5.0999999999999996</v>
      </c>
    </row>
    <row r="34" spans="1:25" x14ac:dyDescent="0.35">
      <c r="A34" s="1">
        <v>46145</v>
      </c>
      <c r="B34">
        <v>0</v>
      </c>
      <c r="C34">
        <v>21.1</v>
      </c>
      <c r="D34">
        <v>0</v>
      </c>
      <c r="E34">
        <v>3.3</v>
      </c>
      <c r="F34">
        <v>0</v>
      </c>
      <c r="G34">
        <v>1248.2</v>
      </c>
      <c r="H34">
        <v>1235.7</v>
      </c>
      <c r="I34">
        <v>12.5</v>
      </c>
      <c r="J34">
        <v>-1</v>
      </c>
      <c r="K34">
        <v>0</v>
      </c>
      <c r="L34">
        <v>6.6539999999999999</v>
      </c>
      <c r="M34">
        <v>-148.1</v>
      </c>
      <c r="N34">
        <v>-150.6</v>
      </c>
      <c r="O34">
        <v>1.17</v>
      </c>
      <c r="P34">
        <v>6.6909999999999998</v>
      </c>
      <c r="Q34">
        <v>-148.9</v>
      </c>
      <c r="R34">
        <v>-150.4</v>
      </c>
      <c r="S34">
        <v>1.1739999999999999</v>
      </c>
      <c r="T34">
        <v>5.1049628343672104</v>
      </c>
      <c r="U34">
        <v>75</v>
      </c>
      <c r="V34">
        <v>70</v>
      </c>
      <c r="W34">
        <v>17.249565738079902</v>
      </c>
      <c r="X34">
        <v>0.42726815000000001</v>
      </c>
      <c r="Y34">
        <f t="shared" si="0"/>
        <v>24.400000000000002</v>
      </c>
    </row>
    <row r="35" spans="1:25" x14ac:dyDescent="0.35">
      <c r="A35" s="1">
        <v>46146</v>
      </c>
      <c r="B35">
        <v>0</v>
      </c>
      <c r="C35">
        <v>17.649999999999999</v>
      </c>
      <c r="D35">
        <v>0</v>
      </c>
      <c r="E35">
        <v>4.6500000000000004</v>
      </c>
      <c r="F35">
        <v>0.15</v>
      </c>
      <c r="G35">
        <v>1225.8</v>
      </c>
      <c r="H35">
        <v>1211.5</v>
      </c>
      <c r="I35">
        <v>14.3</v>
      </c>
      <c r="J35">
        <v>-1</v>
      </c>
      <c r="K35">
        <v>0</v>
      </c>
      <c r="L35">
        <v>6.6289999999999996</v>
      </c>
      <c r="M35">
        <v>-148</v>
      </c>
      <c r="N35">
        <v>-150.30000000000001</v>
      </c>
      <c r="O35">
        <v>1.2170000000000001</v>
      </c>
      <c r="P35">
        <v>6.48</v>
      </c>
      <c r="Q35">
        <v>-145.80000000000001</v>
      </c>
      <c r="R35">
        <v>-150.1</v>
      </c>
      <c r="S35">
        <v>1.22</v>
      </c>
      <c r="T35">
        <v>5.1246835464460601</v>
      </c>
      <c r="U35">
        <v>74</v>
      </c>
      <c r="V35">
        <v>70</v>
      </c>
      <c r="W35">
        <v>17.254400791839899</v>
      </c>
      <c r="X35">
        <v>0.42678753000000003</v>
      </c>
      <c r="Y35">
        <f t="shared" si="0"/>
        <v>22.449999999999996</v>
      </c>
    </row>
    <row r="36" spans="1:25" x14ac:dyDescent="0.35">
      <c r="A36" s="1">
        <v>46147</v>
      </c>
      <c r="B36">
        <v>0</v>
      </c>
      <c r="C36">
        <v>23.8</v>
      </c>
      <c r="D36">
        <v>0</v>
      </c>
      <c r="E36">
        <v>3.1</v>
      </c>
      <c r="F36">
        <v>0.15</v>
      </c>
      <c r="G36">
        <v>1198.8</v>
      </c>
      <c r="H36">
        <v>1190.7</v>
      </c>
      <c r="I36">
        <v>8.1</v>
      </c>
      <c r="J36">
        <v>-1</v>
      </c>
      <c r="K36">
        <v>0</v>
      </c>
      <c r="L36">
        <v>6.3940000000000001</v>
      </c>
      <c r="M36">
        <v>-149.6</v>
      </c>
      <c r="N36">
        <v>-149.9</v>
      </c>
      <c r="O36">
        <v>1.274</v>
      </c>
      <c r="P36">
        <v>6.51</v>
      </c>
      <c r="Q36">
        <v>-149.5</v>
      </c>
      <c r="R36">
        <v>-149.80000000000001</v>
      </c>
      <c r="S36">
        <v>1.278</v>
      </c>
      <c r="T36">
        <v>5.1388608590609604</v>
      </c>
      <c r="U36">
        <v>74</v>
      </c>
      <c r="V36">
        <v>70</v>
      </c>
      <c r="W36">
        <v>17.257666884519899</v>
      </c>
      <c r="X36">
        <v>0.42648646000000001</v>
      </c>
      <c r="Y36">
        <f t="shared" si="0"/>
        <v>27.05</v>
      </c>
    </row>
    <row r="37" spans="1:25" x14ac:dyDescent="0.35">
      <c r="A37" s="1">
        <v>46148</v>
      </c>
      <c r="B37">
        <v>0</v>
      </c>
      <c r="C37">
        <v>24.65</v>
      </c>
      <c r="D37">
        <v>0</v>
      </c>
      <c r="E37">
        <v>6.15</v>
      </c>
      <c r="F37">
        <v>11.55</v>
      </c>
      <c r="G37">
        <v>1156.4000000000001</v>
      </c>
      <c r="H37">
        <v>1152.4000000000001</v>
      </c>
      <c r="I37">
        <v>4</v>
      </c>
      <c r="J37">
        <v>-1</v>
      </c>
      <c r="K37">
        <v>0</v>
      </c>
      <c r="L37">
        <v>6.0209999999999999</v>
      </c>
      <c r="M37">
        <v>-149.4</v>
      </c>
      <c r="N37">
        <v>-149.69999999999999</v>
      </c>
      <c r="O37">
        <v>1.3</v>
      </c>
      <c r="P37">
        <v>6.4969999999999999</v>
      </c>
      <c r="Q37">
        <v>-149.5</v>
      </c>
      <c r="R37">
        <v>-149.6</v>
      </c>
      <c r="S37">
        <v>1.304</v>
      </c>
      <c r="T37">
        <v>5.21831576043743</v>
      </c>
      <c r="U37">
        <v>74</v>
      </c>
      <c r="V37">
        <v>70</v>
      </c>
      <c r="W37">
        <v>17.276191457459898</v>
      </c>
      <c r="X37">
        <v>0.42689587000000001</v>
      </c>
      <c r="Y37">
        <f t="shared" si="0"/>
        <v>42.349999999999994</v>
      </c>
    </row>
    <row r="38" spans="1:25" x14ac:dyDescent="0.35">
      <c r="A38" s="1">
        <v>46149</v>
      </c>
      <c r="B38">
        <v>0</v>
      </c>
      <c r="C38">
        <v>25</v>
      </c>
      <c r="D38">
        <v>0</v>
      </c>
      <c r="E38">
        <v>5.6</v>
      </c>
      <c r="F38">
        <v>0.05</v>
      </c>
      <c r="G38">
        <v>1125.8</v>
      </c>
      <c r="H38">
        <v>1120</v>
      </c>
      <c r="I38">
        <v>5.8</v>
      </c>
      <c r="J38">
        <v>-1</v>
      </c>
      <c r="K38">
        <v>0</v>
      </c>
      <c r="L38">
        <v>5.7450000000000001</v>
      </c>
      <c r="M38">
        <v>-148.9</v>
      </c>
      <c r="N38">
        <v>-149.30000000000001</v>
      </c>
      <c r="O38">
        <v>1.3480000000000001</v>
      </c>
      <c r="P38">
        <v>6.4589999999999996</v>
      </c>
      <c r="Q38">
        <v>-149.1</v>
      </c>
      <c r="R38">
        <v>-149.19999999999999</v>
      </c>
      <c r="S38">
        <v>1.351</v>
      </c>
      <c r="T38">
        <v>5.2444762132960197</v>
      </c>
      <c r="U38">
        <v>74</v>
      </c>
      <c r="V38">
        <v>70</v>
      </c>
      <c r="W38">
        <v>17.282463185440001</v>
      </c>
      <c r="X38">
        <v>0.42708019000000003</v>
      </c>
      <c r="Y38">
        <f t="shared" si="0"/>
        <v>30.650000000000002</v>
      </c>
    </row>
    <row r="39" spans="1:25" x14ac:dyDescent="0.35">
      <c r="A39" s="1">
        <v>46150</v>
      </c>
      <c r="B39">
        <v>0</v>
      </c>
      <c r="C39">
        <v>0.25</v>
      </c>
      <c r="D39">
        <v>0</v>
      </c>
      <c r="E39">
        <v>4</v>
      </c>
      <c r="F39">
        <v>0.05</v>
      </c>
      <c r="G39">
        <v>1121.4000000000001</v>
      </c>
      <c r="H39">
        <v>1117.7</v>
      </c>
      <c r="I39">
        <v>3.7</v>
      </c>
      <c r="J39">
        <v>-1</v>
      </c>
      <c r="K39">
        <v>0</v>
      </c>
      <c r="L39">
        <v>5.7329999999999997</v>
      </c>
      <c r="M39">
        <v>-148.6</v>
      </c>
      <c r="N39">
        <v>-149.1</v>
      </c>
      <c r="O39">
        <v>1.385</v>
      </c>
      <c r="P39">
        <v>6.4450000000000003</v>
      </c>
      <c r="Q39">
        <v>-148.80000000000001</v>
      </c>
      <c r="R39">
        <v>-149</v>
      </c>
      <c r="S39">
        <v>1.3879999999999999</v>
      </c>
      <c r="T39">
        <v>5.2637132010138501</v>
      </c>
      <c r="U39">
        <v>74</v>
      </c>
      <c r="V39">
        <v>70</v>
      </c>
      <c r="W39">
        <v>17.2869014632</v>
      </c>
      <c r="X39">
        <v>0.42719942</v>
      </c>
      <c r="Y39">
        <f t="shared" si="0"/>
        <v>4.3</v>
      </c>
    </row>
    <row r="40" spans="1:25" x14ac:dyDescent="0.35">
      <c r="A40" s="1">
        <v>46151</v>
      </c>
      <c r="B40">
        <v>0</v>
      </c>
      <c r="C40">
        <v>0</v>
      </c>
      <c r="D40">
        <v>0</v>
      </c>
      <c r="E40">
        <v>5.05</v>
      </c>
      <c r="F40">
        <v>11.2</v>
      </c>
      <c r="G40">
        <v>1105.2</v>
      </c>
      <c r="H40">
        <v>1100</v>
      </c>
      <c r="I40">
        <v>5.2</v>
      </c>
      <c r="J40">
        <v>-1</v>
      </c>
      <c r="K40">
        <v>0</v>
      </c>
      <c r="L40">
        <v>5.6779999999999999</v>
      </c>
      <c r="M40">
        <v>-149.19999999999999</v>
      </c>
      <c r="N40">
        <v>-149.69999999999999</v>
      </c>
      <c r="O40">
        <v>1.268</v>
      </c>
      <c r="P40">
        <v>6.3220000000000001</v>
      </c>
      <c r="Q40">
        <v>-149.5</v>
      </c>
      <c r="R40">
        <v>-149.5</v>
      </c>
      <c r="S40">
        <v>1.2709999999999999</v>
      </c>
      <c r="T40">
        <v>5.3417666123070102</v>
      </c>
      <c r="U40">
        <v>74</v>
      </c>
      <c r="V40">
        <v>70</v>
      </c>
      <c r="W40">
        <v>17.305233695779901</v>
      </c>
      <c r="X40">
        <v>0.42749911000000002</v>
      </c>
      <c r="Y40">
        <f t="shared" si="0"/>
        <v>16.25</v>
      </c>
    </row>
    <row r="41" spans="1:25" x14ac:dyDescent="0.35">
      <c r="A41" s="1">
        <v>46152</v>
      </c>
      <c r="B41">
        <v>0</v>
      </c>
      <c r="C41">
        <v>0</v>
      </c>
      <c r="D41">
        <v>0</v>
      </c>
      <c r="E41">
        <v>4.2</v>
      </c>
      <c r="F41">
        <v>5.55</v>
      </c>
      <c r="G41">
        <v>1095.4000000000001</v>
      </c>
      <c r="H41">
        <v>1088.7</v>
      </c>
      <c r="I41">
        <v>6.7</v>
      </c>
      <c r="J41">
        <v>-1</v>
      </c>
      <c r="K41">
        <v>0</v>
      </c>
      <c r="L41">
        <v>5.6319999999999997</v>
      </c>
      <c r="M41">
        <v>-148.9</v>
      </c>
      <c r="N41">
        <v>-150</v>
      </c>
      <c r="O41">
        <v>1.2270000000000001</v>
      </c>
      <c r="P41">
        <v>6.2569999999999997</v>
      </c>
      <c r="Q41">
        <v>-149.19999999999999</v>
      </c>
      <c r="R41">
        <v>-149.9</v>
      </c>
      <c r="S41">
        <v>1.23</v>
      </c>
      <c r="T41">
        <v>5.39015578364695</v>
      </c>
      <c r="U41">
        <v>74</v>
      </c>
      <c r="V41">
        <v>70</v>
      </c>
      <c r="W41">
        <v>17.3163564353999</v>
      </c>
      <c r="X41">
        <v>0.42767938</v>
      </c>
      <c r="Y41">
        <f t="shared" si="0"/>
        <v>9.75</v>
      </c>
    </row>
    <row r="42" spans="1:25" x14ac:dyDescent="0.35">
      <c r="A42" s="1">
        <v>46153</v>
      </c>
      <c r="B42">
        <v>0</v>
      </c>
      <c r="C42">
        <v>0</v>
      </c>
      <c r="D42">
        <v>0</v>
      </c>
      <c r="E42">
        <v>3.5</v>
      </c>
      <c r="F42">
        <v>0</v>
      </c>
      <c r="G42">
        <v>1092</v>
      </c>
      <c r="H42">
        <v>1082.8</v>
      </c>
      <c r="I42">
        <v>9.1999999999999993</v>
      </c>
      <c r="J42">
        <v>-1</v>
      </c>
      <c r="K42">
        <v>0</v>
      </c>
      <c r="L42">
        <v>5.6040000000000001</v>
      </c>
      <c r="M42">
        <v>-145.69999999999999</v>
      </c>
      <c r="N42">
        <v>-149.9</v>
      </c>
      <c r="O42">
        <v>1.234</v>
      </c>
      <c r="P42">
        <v>6.2270000000000003</v>
      </c>
      <c r="Q42">
        <v>-148.1</v>
      </c>
      <c r="R42">
        <v>-149.80000000000001</v>
      </c>
      <c r="S42">
        <v>1.2370000000000001</v>
      </c>
      <c r="T42">
        <v>5.4074205159132704</v>
      </c>
      <c r="U42">
        <v>74</v>
      </c>
      <c r="V42">
        <v>70</v>
      </c>
      <c r="W42">
        <v>17.320462106999901</v>
      </c>
      <c r="X42">
        <v>0.42777731000000002</v>
      </c>
      <c r="Y42">
        <f t="shared" si="0"/>
        <v>3.5</v>
      </c>
    </row>
    <row r="43" spans="1:25" x14ac:dyDescent="0.35">
      <c r="A43" s="1">
        <v>46154</v>
      </c>
      <c r="B43">
        <v>0</v>
      </c>
      <c r="C43">
        <v>0</v>
      </c>
      <c r="D43">
        <v>0</v>
      </c>
      <c r="E43">
        <v>3.8</v>
      </c>
      <c r="F43">
        <v>0.05</v>
      </c>
      <c r="G43">
        <v>1088.0999999999999</v>
      </c>
      <c r="H43">
        <v>1080.7</v>
      </c>
      <c r="I43">
        <v>7.4</v>
      </c>
      <c r="J43">
        <v>-1</v>
      </c>
      <c r="K43">
        <v>0</v>
      </c>
      <c r="L43">
        <v>5.5979999999999999</v>
      </c>
      <c r="M43">
        <v>-138.5</v>
      </c>
      <c r="N43">
        <v>-149.80000000000001</v>
      </c>
      <c r="O43">
        <v>1.236</v>
      </c>
      <c r="P43">
        <v>6.2110000000000003</v>
      </c>
      <c r="Q43">
        <v>-148.1</v>
      </c>
      <c r="R43">
        <v>-149.69999999999999</v>
      </c>
      <c r="S43">
        <v>1.238</v>
      </c>
      <c r="T43">
        <v>5.4260399221751898</v>
      </c>
      <c r="U43">
        <v>74</v>
      </c>
      <c r="V43">
        <v>70</v>
      </c>
      <c r="W43">
        <v>17.32510280452</v>
      </c>
      <c r="X43">
        <v>0.42788538999999998</v>
      </c>
      <c r="Y43">
        <f t="shared" si="0"/>
        <v>3.8499999999999996</v>
      </c>
    </row>
    <row r="44" spans="1:25" x14ac:dyDescent="0.35">
      <c r="A44" s="1">
        <v>46155</v>
      </c>
      <c r="B44">
        <v>0</v>
      </c>
      <c r="C44">
        <v>0</v>
      </c>
      <c r="D44">
        <v>0</v>
      </c>
      <c r="E44">
        <v>2.4500000000000002</v>
      </c>
      <c r="F44">
        <v>0.6</v>
      </c>
      <c r="G44">
        <v>1085</v>
      </c>
      <c r="H44">
        <v>1078.2</v>
      </c>
      <c r="I44">
        <v>6.8</v>
      </c>
      <c r="J44">
        <v>-1</v>
      </c>
      <c r="K44">
        <v>0</v>
      </c>
      <c r="L44">
        <v>5.5860000000000003</v>
      </c>
      <c r="M44">
        <v>-136</v>
      </c>
      <c r="N44">
        <v>-149.80000000000001</v>
      </c>
      <c r="O44">
        <v>1.2450000000000001</v>
      </c>
      <c r="P44">
        <v>6.1980000000000004</v>
      </c>
      <c r="Q44">
        <v>-142.30000000000001</v>
      </c>
      <c r="R44">
        <v>-149.6</v>
      </c>
      <c r="S44">
        <v>1.246</v>
      </c>
      <c r="T44">
        <v>5.4418720211423404</v>
      </c>
      <c r="U44">
        <v>74</v>
      </c>
      <c r="V44">
        <v>70</v>
      </c>
      <c r="W44">
        <v>17.328631370459998</v>
      </c>
      <c r="X44">
        <v>0.42796571999999999</v>
      </c>
      <c r="Y44">
        <f t="shared" si="0"/>
        <v>3.0500000000000003</v>
      </c>
    </row>
    <row r="45" spans="1:25" x14ac:dyDescent="0.35">
      <c r="A45" s="1">
        <v>46156</v>
      </c>
      <c r="B45">
        <v>0</v>
      </c>
      <c r="C45">
        <v>0</v>
      </c>
      <c r="D45">
        <v>0</v>
      </c>
      <c r="E45">
        <v>4.3</v>
      </c>
      <c r="F45">
        <v>0.95</v>
      </c>
      <c r="G45">
        <v>1079.8</v>
      </c>
      <c r="H45">
        <v>1064.8</v>
      </c>
      <c r="I45">
        <v>15</v>
      </c>
      <c r="J45">
        <v>-1</v>
      </c>
      <c r="K45">
        <v>0</v>
      </c>
      <c r="L45">
        <v>5.5220000000000002</v>
      </c>
      <c r="M45">
        <v>-135.5</v>
      </c>
      <c r="N45">
        <v>-150</v>
      </c>
      <c r="O45">
        <v>1.2070000000000001</v>
      </c>
      <c r="P45">
        <v>6.1349999999999998</v>
      </c>
      <c r="Q45">
        <v>-140</v>
      </c>
      <c r="R45">
        <v>-149.80000000000001</v>
      </c>
      <c r="S45">
        <v>1.2090000000000001</v>
      </c>
      <c r="T45">
        <v>5.4688032917792198</v>
      </c>
      <c r="U45">
        <v>74</v>
      </c>
      <c r="V45">
        <v>70</v>
      </c>
      <c r="W45">
        <v>17.334885040099898</v>
      </c>
      <c r="X45">
        <v>0.42806673000000001</v>
      </c>
      <c r="Y45">
        <f t="shared" si="0"/>
        <v>5.25</v>
      </c>
    </row>
    <row r="46" spans="1:25" x14ac:dyDescent="0.35">
      <c r="A46" s="1">
        <v>46157</v>
      </c>
      <c r="B46">
        <v>0</v>
      </c>
      <c r="C46">
        <v>0</v>
      </c>
      <c r="D46">
        <v>0</v>
      </c>
      <c r="E46">
        <v>3.6</v>
      </c>
      <c r="F46">
        <v>1</v>
      </c>
      <c r="G46">
        <v>1075.2</v>
      </c>
      <c r="H46">
        <v>1067.0999999999999</v>
      </c>
      <c r="I46">
        <v>8.1</v>
      </c>
      <c r="J46">
        <v>-1</v>
      </c>
      <c r="K46">
        <v>0</v>
      </c>
      <c r="L46">
        <v>5.532</v>
      </c>
      <c r="M46">
        <v>-135.1</v>
      </c>
      <c r="N46">
        <v>-150.1</v>
      </c>
      <c r="O46">
        <v>1.1819999999999999</v>
      </c>
      <c r="P46">
        <v>6.1420000000000003</v>
      </c>
      <c r="Q46">
        <v>-139.30000000000001</v>
      </c>
      <c r="R46">
        <v>-149.9</v>
      </c>
      <c r="S46">
        <v>1.1839999999999999</v>
      </c>
      <c r="T46">
        <v>5.4920649626907698</v>
      </c>
      <c r="U46">
        <v>74</v>
      </c>
      <c r="V46">
        <v>70</v>
      </c>
      <c r="W46">
        <v>17.340429401799899</v>
      </c>
      <c r="X46">
        <v>0.42826379999999997</v>
      </c>
      <c r="Y46">
        <f t="shared" si="0"/>
        <v>4.5999999999999996</v>
      </c>
    </row>
    <row r="47" spans="1:25" x14ac:dyDescent="0.35">
      <c r="A47" s="1">
        <v>46158</v>
      </c>
      <c r="B47">
        <v>0</v>
      </c>
      <c r="C47">
        <v>0</v>
      </c>
      <c r="D47">
        <v>0</v>
      </c>
      <c r="E47">
        <v>3.45</v>
      </c>
      <c r="F47">
        <v>0.95</v>
      </c>
      <c r="G47">
        <v>1070.8</v>
      </c>
      <c r="H47">
        <v>1064.7</v>
      </c>
      <c r="I47">
        <v>6.1</v>
      </c>
      <c r="J47">
        <v>-1</v>
      </c>
      <c r="K47">
        <v>0</v>
      </c>
      <c r="L47">
        <v>5.5179999999999998</v>
      </c>
      <c r="M47">
        <v>-134.4</v>
      </c>
      <c r="N47">
        <v>-150.19999999999999</v>
      </c>
      <c r="O47">
        <v>1.173</v>
      </c>
      <c r="P47">
        <v>6.1269999999999998</v>
      </c>
      <c r="Q47">
        <v>-138.1</v>
      </c>
      <c r="R47">
        <v>-150.1</v>
      </c>
      <c r="S47">
        <v>1.1759999999999999</v>
      </c>
      <c r="T47">
        <v>5.51504061204104</v>
      </c>
      <c r="U47">
        <v>74</v>
      </c>
      <c r="V47">
        <v>70</v>
      </c>
      <c r="W47">
        <v>17.3457473223399</v>
      </c>
      <c r="X47">
        <v>0.42855950999999998</v>
      </c>
      <c r="Y47">
        <f t="shared" si="0"/>
        <v>4.4000000000000004</v>
      </c>
    </row>
    <row r="48" spans="1:25" x14ac:dyDescent="0.35">
      <c r="A48" s="1">
        <v>46159</v>
      </c>
      <c r="B48">
        <v>0</v>
      </c>
      <c r="C48">
        <v>0</v>
      </c>
      <c r="D48">
        <v>0</v>
      </c>
      <c r="E48">
        <v>3.2</v>
      </c>
      <c r="F48">
        <v>1.25</v>
      </c>
      <c r="G48">
        <v>1066.4000000000001</v>
      </c>
      <c r="H48">
        <v>1051.5999999999999</v>
      </c>
      <c r="I48">
        <v>14.8</v>
      </c>
      <c r="J48">
        <v>-1</v>
      </c>
      <c r="K48">
        <v>0</v>
      </c>
      <c r="L48">
        <v>5.4569999999999999</v>
      </c>
      <c r="M48">
        <v>-133.69999999999999</v>
      </c>
      <c r="N48">
        <v>-150.30000000000001</v>
      </c>
      <c r="O48">
        <v>1.149</v>
      </c>
      <c r="P48">
        <v>6.06</v>
      </c>
      <c r="Q48">
        <v>-137.4</v>
      </c>
      <c r="R48">
        <v>-150.19999999999999</v>
      </c>
      <c r="S48">
        <v>1.151</v>
      </c>
      <c r="T48">
        <v>5.5382658667676301</v>
      </c>
      <c r="U48">
        <v>74</v>
      </c>
      <c r="V48">
        <v>70</v>
      </c>
      <c r="W48">
        <v>17.351149402359901</v>
      </c>
      <c r="X48">
        <v>0.42886432000000002</v>
      </c>
      <c r="Y48">
        <f t="shared" si="0"/>
        <v>4.45</v>
      </c>
    </row>
    <row r="49" spans="1:25" x14ac:dyDescent="0.35">
      <c r="A49" s="1">
        <v>46160</v>
      </c>
      <c r="B49">
        <v>0</v>
      </c>
      <c r="C49">
        <v>0</v>
      </c>
      <c r="D49">
        <v>0</v>
      </c>
      <c r="E49">
        <v>5.85</v>
      </c>
      <c r="F49">
        <v>1.25</v>
      </c>
      <c r="G49">
        <v>1059.2</v>
      </c>
      <c r="H49">
        <v>1037.8</v>
      </c>
      <c r="I49">
        <v>21.4</v>
      </c>
      <c r="J49">
        <v>-1</v>
      </c>
      <c r="K49">
        <v>0</v>
      </c>
      <c r="L49">
        <v>5.3890000000000002</v>
      </c>
      <c r="M49">
        <v>-135.80000000000001</v>
      </c>
      <c r="N49">
        <v>-150.69999999999999</v>
      </c>
      <c r="O49">
        <v>1.091</v>
      </c>
      <c r="P49">
        <v>5.9779999999999998</v>
      </c>
      <c r="Q49">
        <v>-139.69999999999999</v>
      </c>
      <c r="R49">
        <v>-150.6</v>
      </c>
      <c r="S49">
        <v>1.0940000000000001</v>
      </c>
      <c r="T49">
        <v>5.5759098784182903</v>
      </c>
      <c r="U49">
        <v>73</v>
      </c>
      <c r="V49">
        <v>70</v>
      </c>
      <c r="W49">
        <v>17.359901734539999</v>
      </c>
      <c r="X49">
        <v>0.42982113999999999</v>
      </c>
      <c r="Y49">
        <f t="shared" si="0"/>
        <v>7.1</v>
      </c>
    </row>
    <row r="50" spans="1:25" x14ac:dyDescent="0.35">
      <c r="A50" s="1">
        <v>46161</v>
      </c>
      <c r="B50">
        <v>0</v>
      </c>
      <c r="C50">
        <v>0</v>
      </c>
      <c r="D50">
        <v>0</v>
      </c>
      <c r="E50">
        <v>3.8</v>
      </c>
      <c r="F50">
        <v>1.7</v>
      </c>
      <c r="G50">
        <v>1053.8</v>
      </c>
      <c r="H50">
        <v>1029</v>
      </c>
      <c r="I50">
        <v>24.8</v>
      </c>
      <c r="J50">
        <v>-1</v>
      </c>
      <c r="K50">
        <v>0</v>
      </c>
      <c r="L50">
        <v>5.3449999999999998</v>
      </c>
      <c r="M50">
        <v>-139.4</v>
      </c>
      <c r="N50">
        <v>-150.9</v>
      </c>
      <c r="O50">
        <v>1.095</v>
      </c>
      <c r="P50">
        <v>5.93</v>
      </c>
      <c r="Q50">
        <v>-147.6</v>
      </c>
      <c r="R50">
        <v>-150.69999999999999</v>
      </c>
      <c r="S50">
        <v>1.099</v>
      </c>
      <c r="T50">
        <v>5.6051368734076803</v>
      </c>
      <c r="U50">
        <v>73</v>
      </c>
      <c r="V50">
        <v>70</v>
      </c>
      <c r="W50">
        <v>17.366756531239901</v>
      </c>
      <c r="X50">
        <v>0.43024783</v>
      </c>
      <c r="Y50">
        <f t="shared" si="0"/>
        <v>5.5</v>
      </c>
    </row>
    <row r="51" spans="1:25" x14ac:dyDescent="0.35">
      <c r="A51" s="1">
        <v>46162</v>
      </c>
      <c r="B51">
        <v>0</v>
      </c>
      <c r="C51">
        <v>0</v>
      </c>
      <c r="D51">
        <v>0</v>
      </c>
      <c r="E51">
        <v>3.25</v>
      </c>
      <c r="F51">
        <v>0.3</v>
      </c>
      <c r="G51">
        <v>1050.2</v>
      </c>
      <c r="H51">
        <v>1025.4000000000001</v>
      </c>
      <c r="I51">
        <v>24.8</v>
      </c>
      <c r="J51">
        <v>-1</v>
      </c>
      <c r="K51">
        <v>0</v>
      </c>
      <c r="L51">
        <v>5.3250000000000002</v>
      </c>
      <c r="M51">
        <v>-148.80000000000001</v>
      </c>
      <c r="N51">
        <v>-150.69999999999999</v>
      </c>
      <c r="O51">
        <v>1.117</v>
      </c>
      <c r="P51">
        <v>5.9219999999999997</v>
      </c>
      <c r="Q51">
        <v>-149.4</v>
      </c>
      <c r="R51">
        <v>-150.5</v>
      </c>
      <c r="S51">
        <v>1.1200000000000001</v>
      </c>
      <c r="T51">
        <v>5.6241974364240397</v>
      </c>
      <c r="U51">
        <v>73</v>
      </c>
      <c r="V51">
        <v>70</v>
      </c>
      <c r="W51">
        <v>17.371266957779898</v>
      </c>
      <c r="X51">
        <v>0.42995054999999999</v>
      </c>
      <c r="Y51">
        <f t="shared" si="0"/>
        <v>3.55</v>
      </c>
    </row>
    <row r="52" spans="1:25" x14ac:dyDescent="0.35">
      <c r="A52" s="1">
        <v>46163</v>
      </c>
      <c r="B52">
        <v>0</v>
      </c>
      <c r="C52">
        <v>0</v>
      </c>
      <c r="D52">
        <v>0</v>
      </c>
      <c r="E52">
        <v>3.6</v>
      </c>
      <c r="F52">
        <v>0</v>
      </c>
      <c r="G52">
        <v>1046.5999999999999</v>
      </c>
      <c r="H52">
        <v>1026.2</v>
      </c>
      <c r="I52">
        <v>20.399999999999999</v>
      </c>
      <c r="J52">
        <v>-1</v>
      </c>
      <c r="K52">
        <v>0</v>
      </c>
      <c r="L52">
        <v>5.3360000000000003</v>
      </c>
      <c r="M52">
        <v>-149</v>
      </c>
      <c r="N52">
        <v>-150.5</v>
      </c>
      <c r="O52">
        <v>1.1399999999999999</v>
      </c>
      <c r="P52">
        <v>5.9210000000000003</v>
      </c>
      <c r="Q52">
        <v>-149.4</v>
      </c>
      <c r="R52">
        <v>-150.4</v>
      </c>
      <c r="S52">
        <v>1.1439999999999999</v>
      </c>
      <c r="T52">
        <v>5.6434126225832904</v>
      </c>
      <c r="U52">
        <v>73</v>
      </c>
      <c r="V52">
        <v>70</v>
      </c>
      <c r="W52">
        <v>17.375847517219899</v>
      </c>
      <c r="X52">
        <v>0.42975915999999997</v>
      </c>
      <c r="Y52">
        <f t="shared" si="0"/>
        <v>3.6</v>
      </c>
    </row>
    <row r="53" spans="1:25" x14ac:dyDescent="0.35">
      <c r="A53" s="1">
        <v>46164</v>
      </c>
      <c r="B53">
        <v>0</v>
      </c>
      <c r="C53">
        <v>0</v>
      </c>
      <c r="D53">
        <v>0</v>
      </c>
      <c r="E53">
        <v>3.45</v>
      </c>
      <c r="F53">
        <v>0.05</v>
      </c>
      <c r="G53">
        <v>1043.0999999999999</v>
      </c>
      <c r="H53">
        <v>1021.3</v>
      </c>
      <c r="I53">
        <v>21.8</v>
      </c>
      <c r="J53">
        <v>-1</v>
      </c>
      <c r="K53">
        <v>0</v>
      </c>
      <c r="L53">
        <v>5.3019999999999996</v>
      </c>
      <c r="M53">
        <v>-148.30000000000001</v>
      </c>
      <c r="N53">
        <v>-150.4</v>
      </c>
      <c r="O53">
        <v>1.167</v>
      </c>
      <c r="P53">
        <v>5.915</v>
      </c>
      <c r="Q53">
        <v>-149.1</v>
      </c>
      <c r="R53">
        <v>-150.19999999999999</v>
      </c>
      <c r="S53">
        <v>1.171</v>
      </c>
      <c r="T53">
        <v>5.6626782312715704</v>
      </c>
      <c r="U53">
        <v>73</v>
      </c>
      <c r="V53">
        <v>70</v>
      </c>
      <c r="W53">
        <v>17.380400023499899</v>
      </c>
      <c r="X53">
        <v>0.4295543</v>
      </c>
      <c r="Y53">
        <f t="shared" si="0"/>
        <v>3.5</v>
      </c>
    </row>
    <row r="54" spans="1:25" x14ac:dyDescent="0.35">
      <c r="A54" s="1">
        <v>46165</v>
      </c>
      <c r="B54">
        <v>0</v>
      </c>
      <c r="C54">
        <v>0</v>
      </c>
      <c r="D54">
        <v>0</v>
      </c>
      <c r="E54">
        <v>3.3</v>
      </c>
      <c r="F54">
        <v>0</v>
      </c>
      <c r="G54">
        <v>1039.8</v>
      </c>
      <c r="H54">
        <v>1018.5</v>
      </c>
      <c r="I54">
        <v>21.3</v>
      </c>
      <c r="J54">
        <v>-1</v>
      </c>
      <c r="K54">
        <v>0</v>
      </c>
      <c r="L54">
        <v>5.2880000000000003</v>
      </c>
      <c r="M54">
        <v>-149</v>
      </c>
      <c r="N54">
        <v>-150.19999999999999</v>
      </c>
      <c r="O54">
        <v>1.198</v>
      </c>
      <c r="P54">
        <v>5.907</v>
      </c>
      <c r="Q54">
        <v>-149.30000000000001</v>
      </c>
      <c r="R54">
        <v>-150.1</v>
      </c>
      <c r="S54">
        <v>1.2010000000000001</v>
      </c>
      <c r="T54">
        <v>5.6803381948286997</v>
      </c>
      <c r="U54">
        <v>73</v>
      </c>
      <c r="V54">
        <v>70</v>
      </c>
      <c r="W54">
        <v>17.384645960899999</v>
      </c>
      <c r="X54">
        <v>0.42935676</v>
      </c>
      <c r="Y54">
        <f t="shared" si="0"/>
        <v>3.3</v>
      </c>
    </row>
    <row r="55" spans="1:25" x14ac:dyDescent="0.35">
      <c r="A55" s="1">
        <v>46166</v>
      </c>
      <c r="B55">
        <v>0</v>
      </c>
      <c r="C55">
        <v>0</v>
      </c>
      <c r="D55">
        <v>0</v>
      </c>
      <c r="E55">
        <v>3.4</v>
      </c>
      <c r="F55">
        <v>0</v>
      </c>
      <c r="G55">
        <v>1036.4000000000001</v>
      </c>
      <c r="H55">
        <v>1014.5</v>
      </c>
      <c r="I55">
        <v>21.9</v>
      </c>
      <c r="J55">
        <v>-1</v>
      </c>
      <c r="K55">
        <v>0</v>
      </c>
      <c r="L55">
        <v>5.2809999999999997</v>
      </c>
      <c r="M55">
        <v>-149.30000000000001</v>
      </c>
      <c r="N55">
        <v>-150</v>
      </c>
      <c r="O55">
        <v>1.238</v>
      </c>
      <c r="P55">
        <v>5.8789999999999996</v>
      </c>
      <c r="Q55">
        <v>-149.30000000000001</v>
      </c>
      <c r="R55">
        <v>-149.80000000000001</v>
      </c>
      <c r="S55">
        <v>1.242</v>
      </c>
      <c r="T55">
        <v>5.6989469279202698</v>
      </c>
      <c r="U55">
        <v>73</v>
      </c>
      <c r="V55">
        <v>70</v>
      </c>
      <c r="W55">
        <v>17.389044174799999</v>
      </c>
      <c r="X55">
        <v>0.42917737</v>
      </c>
      <c r="Y55">
        <f t="shared" si="0"/>
        <v>3.4</v>
      </c>
    </row>
    <row r="56" spans="1:25" x14ac:dyDescent="0.35">
      <c r="A56" s="1">
        <v>46167</v>
      </c>
      <c r="B56">
        <v>0</v>
      </c>
      <c r="C56">
        <v>0</v>
      </c>
      <c r="D56">
        <v>0</v>
      </c>
      <c r="E56">
        <v>3.35</v>
      </c>
      <c r="F56">
        <v>0</v>
      </c>
      <c r="G56">
        <v>1033</v>
      </c>
      <c r="H56">
        <v>1013.4</v>
      </c>
      <c r="I56">
        <v>19.600000000000001</v>
      </c>
      <c r="J56">
        <v>-1</v>
      </c>
      <c r="K56">
        <v>0</v>
      </c>
      <c r="L56">
        <v>5.2679999999999998</v>
      </c>
      <c r="M56">
        <v>-148.6</v>
      </c>
      <c r="N56">
        <v>-149.69999999999999</v>
      </c>
      <c r="O56">
        <v>1.274</v>
      </c>
      <c r="P56">
        <v>5.8789999999999996</v>
      </c>
      <c r="Q56">
        <v>-148.69999999999999</v>
      </c>
      <c r="R56">
        <v>-149.6</v>
      </c>
      <c r="S56">
        <v>1.278</v>
      </c>
      <c r="T56">
        <v>5.71793486592858</v>
      </c>
      <c r="U56">
        <v>73</v>
      </c>
      <c r="V56">
        <v>70</v>
      </c>
      <c r="W56">
        <v>17.393398293079901</v>
      </c>
      <c r="X56">
        <v>0.42929993999999999</v>
      </c>
      <c r="Y56">
        <f t="shared" si="0"/>
        <v>3.35</v>
      </c>
    </row>
    <row r="57" spans="1:25" x14ac:dyDescent="0.35">
      <c r="A57" s="1">
        <v>46168</v>
      </c>
      <c r="B57">
        <v>0</v>
      </c>
      <c r="C57">
        <v>0</v>
      </c>
      <c r="D57">
        <v>0</v>
      </c>
      <c r="E57">
        <v>3.1</v>
      </c>
      <c r="F57">
        <v>0.05</v>
      </c>
      <c r="G57">
        <v>1029.9000000000001</v>
      </c>
      <c r="H57">
        <v>1011.3</v>
      </c>
      <c r="I57">
        <v>18.600000000000001</v>
      </c>
      <c r="J57">
        <v>-1</v>
      </c>
      <c r="K57">
        <v>0</v>
      </c>
      <c r="L57">
        <v>5.274</v>
      </c>
      <c r="M57">
        <v>-147.80000000000001</v>
      </c>
      <c r="N57">
        <v>-149.4</v>
      </c>
      <c r="O57">
        <v>1.306</v>
      </c>
      <c r="P57">
        <v>5.851</v>
      </c>
      <c r="Q57">
        <v>-146.9</v>
      </c>
      <c r="R57">
        <v>-149.5</v>
      </c>
      <c r="S57">
        <v>1.3089999999999999</v>
      </c>
      <c r="T57">
        <v>5.7352575987065997</v>
      </c>
      <c r="U57">
        <v>73</v>
      </c>
      <c r="V57">
        <v>70</v>
      </c>
      <c r="W57">
        <v>17.3975320178399</v>
      </c>
      <c r="X57">
        <v>0.42941040000000003</v>
      </c>
      <c r="Y57">
        <f t="shared" si="0"/>
        <v>3.15</v>
      </c>
    </row>
    <row r="58" spans="1:25" x14ac:dyDescent="0.35">
      <c r="A58" s="1">
        <v>46169</v>
      </c>
      <c r="B58">
        <v>0</v>
      </c>
      <c r="C58">
        <v>0</v>
      </c>
      <c r="D58">
        <v>0</v>
      </c>
      <c r="E58">
        <v>3.3</v>
      </c>
      <c r="F58">
        <v>0.05</v>
      </c>
      <c r="G58">
        <v>1026.5999999999999</v>
      </c>
      <c r="H58">
        <v>1005.9</v>
      </c>
      <c r="I58">
        <v>20.7</v>
      </c>
      <c r="J58">
        <v>-1</v>
      </c>
      <c r="K58">
        <v>0</v>
      </c>
      <c r="L58">
        <v>5.2359999999999998</v>
      </c>
      <c r="M58">
        <v>-141.6</v>
      </c>
      <c r="N58">
        <v>-149.4</v>
      </c>
      <c r="O58">
        <v>1.3169999999999999</v>
      </c>
      <c r="P58">
        <v>5.8390000000000004</v>
      </c>
      <c r="Q58">
        <v>-144.5</v>
      </c>
      <c r="R58">
        <v>-149.19999999999999</v>
      </c>
      <c r="S58">
        <v>1.321</v>
      </c>
      <c r="T58">
        <v>5.7539657321324196</v>
      </c>
      <c r="U58">
        <v>73</v>
      </c>
      <c r="V58">
        <v>70</v>
      </c>
      <c r="W58">
        <v>17.401958284900001</v>
      </c>
      <c r="X58">
        <v>0.42952233000000001</v>
      </c>
      <c r="Y58">
        <f t="shared" si="0"/>
        <v>3.3499999999999996</v>
      </c>
    </row>
    <row r="59" spans="1:25" x14ac:dyDescent="0.35">
      <c r="A59" s="1">
        <v>46170</v>
      </c>
      <c r="B59">
        <v>0</v>
      </c>
      <c r="C59">
        <v>0</v>
      </c>
      <c r="D59">
        <v>0</v>
      </c>
      <c r="E59">
        <v>3.15</v>
      </c>
      <c r="F59">
        <v>0</v>
      </c>
      <c r="G59">
        <v>1023.4</v>
      </c>
      <c r="H59">
        <v>1007.1</v>
      </c>
      <c r="I59">
        <v>16.3</v>
      </c>
      <c r="J59">
        <v>-1</v>
      </c>
      <c r="K59">
        <v>0</v>
      </c>
      <c r="L59">
        <v>5.24</v>
      </c>
      <c r="M59">
        <v>-135.19999999999999</v>
      </c>
      <c r="N59">
        <v>-149.30000000000001</v>
      </c>
      <c r="O59">
        <v>1.3120000000000001</v>
      </c>
      <c r="P59">
        <v>5.8449999999999998</v>
      </c>
      <c r="Q59">
        <v>-140.30000000000001</v>
      </c>
      <c r="R59">
        <v>-149.19999999999999</v>
      </c>
      <c r="S59">
        <v>1.3160000000000001</v>
      </c>
      <c r="T59">
        <v>5.77167934564216</v>
      </c>
      <c r="U59">
        <v>73</v>
      </c>
      <c r="V59">
        <v>70</v>
      </c>
      <c r="W59">
        <v>17.406190195720001</v>
      </c>
      <c r="X59">
        <v>0.42961483</v>
      </c>
      <c r="Y59">
        <f t="shared" si="0"/>
        <v>3.15</v>
      </c>
    </row>
    <row r="60" spans="1:25" x14ac:dyDescent="0.35">
      <c r="A60" s="1">
        <v>46171</v>
      </c>
      <c r="B60">
        <v>0</v>
      </c>
      <c r="C60">
        <v>0</v>
      </c>
      <c r="D60">
        <v>0</v>
      </c>
      <c r="E60">
        <v>3.65</v>
      </c>
      <c r="F60">
        <v>0.05</v>
      </c>
      <c r="G60">
        <v>1019.7</v>
      </c>
      <c r="H60">
        <v>1001.7</v>
      </c>
      <c r="I60">
        <v>18</v>
      </c>
      <c r="J60">
        <v>-1</v>
      </c>
      <c r="K60">
        <v>0</v>
      </c>
      <c r="L60">
        <v>5.2130000000000001</v>
      </c>
      <c r="M60">
        <v>-137.1</v>
      </c>
      <c r="N60">
        <v>-149.19999999999999</v>
      </c>
      <c r="O60">
        <v>1.341</v>
      </c>
      <c r="P60">
        <v>5.819</v>
      </c>
      <c r="Q60">
        <v>-147.1</v>
      </c>
      <c r="R60">
        <v>-149.1</v>
      </c>
      <c r="S60">
        <v>1.3440000000000001</v>
      </c>
      <c r="T60">
        <v>5.7928336298177703</v>
      </c>
      <c r="U60">
        <v>73</v>
      </c>
      <c r="V60">
        <v>70</v>
      </c>
      <c r="W60">
        <v>17.411103361319999</v>
      </c>
      <c r="X60">
        <v>0.42972893000000001</v>
      </c>
      <c r="Y60">
        <f t="shared" si="0"/>
        <v>3.6999999999999997</v>
      </c>
    </row>
    <row r="61" spans="1:25" x14ac:dyDescent="0.35">
      <c r="A61" s="1">
        <v>46172</v>
      </c>
      <c r="B61">
        <v>0</v>
      </c>
      <c r="C61">
        <v>0</v>
      </c>
      <c r="D61">
        <v>0</v>
      </c>
      <c r="E61">
        <v>3.05</v>
      </c>
      <c r="F61">
        <v>0</v>
      </c>
      <c r="G61">
        <v>1016.6</v>
      </c>
      <c r="H61">
        <v>999.4</v>
      </c>
      <c r="I61">
        <v>17.2</v>
      </c>
      <c r="J61">
        <v>-1</v>
      </c>
      <c r="K61">
        <v>0</v>
      </c>
      <c r="L61">
        <v>5.2009999999999996</v>
      </c>
      <c r="M61">
        <v>-141.9</v>
      </c>
      <c r="N61">
        <v>-149.1</v>
      </c>
      <c r="O61">
        <v>1.373</v>
      </c>
      <c r="P61">
        <v>5.806</v>
      </c>
      <c r="Q61">
        <v>-146.69999999999999</v>
      </c>
      <c r="R61">
        <v>-148.9</v>
      </c>
      <c r="S61">
        <v>1.3759999999999999</v>
      </c>
      <c r="T61">
        <v>5.8105610886235803</v>
      </c>
      <c r="U61">
        <v>73</v>
      </c>
      <c r="V61">
        <v>70</v>
      </c>
      <c r="W61">
        <v>17.415207017039901</v>
      </c>
      <c r="X61">
        <v>0.42983336</v>
      </c>
      <c r="Y61">
        <f t="shared" si="0"/>
        <v>3.05</v>
      </c>
    </row>
    <row r="62" spans="1:25" x14ac:dyDescent="0.35">
      <c r="A62" s="1">
        <v>46173</v>
      </c>
      <c r="B62">
        <v>0</v>
      </c>
      <c r="C62">
        <v>0</v>
      </c>
      <c r="D62">
        <v>0</v>
      </c>
      <c r="E62">
        <v>3.15</v>
      </c>
      <c r="F62">
        <v>0</v>
      </c>
      <c r="G62">
        <v>1013.5</v>
      </c>
      <c r="H62">
        <v>995.2</v>
      </c>
      <c r="I62">
        <v>18.3</v>
      </c>
      <c r="J62">
        <v>-1</v>
      </c>
      <c r="K62">
        <v>0</v>
      </c>
      <c r="L62">
        <v>5.18</v>
      </c>
      <c r="M62">
        <v>-147.19999999999999</v>
      </c>
      <c r="N62">
        <v>-148.9</v>
      </c>
      <c r="O62">
        <v>1.4039999999999999</v>
      </c>
      <c r="P62">
        <v>5.7839999999999998</v>
      </c>
      <c r="Q62">
        <v>-148</v>
      </c>
      <c r="R62">
        <v>-148.69999999999999</v>
      </c>
      <c r="S62">
        <v>1.4079999999999999</v>
      </c>
      <c r="T62">
        <v>5.8284464998135004</v>
      </c>
      <c r="U62">
        <v>73</v>
      </c>
      <c r="V62">
        <v>70</v>
      </c>
      <c r="W62">
        <v>17.4195090607599</v>
      </c>
      <c r="X62">
        <v>0.42994756000000001</v>
      </c>
      <c r="Y62">
        <f t="shared" si="0"/>
        <v>3.15</v>
      </c>
    </row>
    <row r="63" spans="1:25" x14ac:dyDescent="0.35">
      <c r="A63" s="1">
        <v>46174</v>
      </c>
      <c r="B63">
        <v>0</v>
      </c>
      <c r="C63">
        <v>0</v>
      </c>
      <c r="D63">
        <v>0</v>
      </c>
      <c r="E63">
        <v>3.25</v>
      </c>
      <c r="F63">
        <v>0</v>
      </c>
      <c r="G63">
        <v>1010.2</v>
      </c>
      <c r="H63">
        <v>997.2</v>
      </c>
      <c r="I63">
        <v>13</v>
      </c>
      <c r="J63">
        <v>-1</v>
      </c>
      <c r="K63">
        <v>0</v>
      </c>
      <c r="L63">
        <v>5.1920000000000002</v>
      </c>
      <c r="M63">
        <v>-147.80000000000001</v>
      </c>
      <c r="N63">
        <v>-148.6</v>
      </c>
      <c r="O63">
        <v>1.4410000000000001</v>
      </c>
      <c r="P63">
        <v>5.7869999999999999</v>
      </c>
      <c r="Q63">
        <v>-147.9</v>
      </c>
      <c r="R63">
        <v>-148.5</v>
      </c>
      <c r="S63">
        <v>1.444</v>
      </c>
      <c r="T63">
        <v>5.8474620541281297</v>
      </c>
      <c r="U63">
        <v>73</v>
      </c>
      <c r="V63">
        <v>70</v>
      </c>
      <c r="W63">
        <v>17.4238912321999</v>
      </c>
      <c r="X63">
        <v>0.43007007000000003</v>
      </c>
      <c r="Y63">
        <f t="shared" si="0"/>
        <v>3.25</v>
      </c>
    </row>
    <row r="64" spans="1:25" x14ac:dyDescent="0.35">
      <c r="A64" s="1">
        <v>46175</v>
      </c>
      <c r="B64">
        <v>0</v>
      </c>
      <c r="C64">
        <v>0</v>
      </c>
      <c r="D64">
        <v>0</v>
      </c>
      <c r="E64">
        <v>3.1</v>
      </c>
      <c r="F64">
        <v>0.25</v>
      </c>
      <c r="G64">
        <v>1006.9</v>
      </c>
      <c r="H64">
        <v>995.1</v>
      </c>
      <c r="I64">
        <v>11.8</v>
      </c>
      <c r="J64">
        <v>-1</v>
      </c>
      <c r="K64">
        <v>0</v>
      </c>
      <c r="L64">
        <v>5.1929999999999996</v>
      </c>
      <c r="M64">
        <v>-147.69999999999999</v>
      </c>
      <c r="N64">
        <v>-148.4</v>
      </c>
      <c r="O64">
        <v>1.476</v>
      </c>
      <c r="P64">
        <v>5.7629999999999999</v>
      </c>
      <c r="Q64">
        <v>-147.80000000000001</v>
      </c>
      <c r="R64">
        <v>-148.19999999999999</v>
      </c>
      <c r="S64">
        <v>1.4790000000000001</v>
      </c>
      <c r="T64">
        <v>5.8671802830481097</v>
      </c>
      <c r="U64">
        <v>73</v>
      </c>
      <c r="V64">
        <v>70</v>
      </c>
      <c r="W64">
        <v>17.428483802339901</v>
      </c>
      <c r="X64">
        <v>0.43019741</v>
      </c>
      <c r="Y64">
        <f t="shared" si="0"/>
        <v>3.35</v>
      </c>
    </row>
    <row r="65" spans="1:25" x14ac:dyDescent="0.35">
      <c r="A65" s="1">
        <v>46176</v>
      </c>
      <c r="B65">
        <v>0</v>
      </c>
      <c r="C65">
        <v>0</v>
      </c>
      <c r="D65">
        <v>0</v>
      </c>
      <c r="E65">
        <v>3.45</v>
      </c>
      <c r="F65">
        <v>0.9</v>
      </c>
      <c r="G65">
        <v>1002.6</v>
      </c>
      <c r="H65">
        <v>990.2</v>
      </c>
      <c r="I65">
        <v>12.4</v>
      </c>
      <c r="J65">
        <v>-1</v>
      </c>
      <c r="K65">
        <v>0</v>
      </c>
      <c r="L65">
        <v>5.1559999999999997</v>
      </c>
      <c r="M65">
        <v>-146.69999999999999</v>
      </c>
      <c r="N65">
        <v>-148.30000000000001</v>
      </c>
      <c r="O65">
        <v>1.4650000000000001</v>
      </c>
      <c r="P65">
        <v>5.7530000000000001</v>
      </c>
      <c r="Q65">
        <v>-146.9</v>
      </c>
      <c r="R65">
        <v>-148.1</v>
      </c>
      <c r="S65">
        <v>1.4690000000000001</v>
      </c>
      <c r="T65">
        <v>5.8926589484300003</v>
      </c>
      <c r="U65">
        <v>73</v>
      </c>
      <c r="V65">
        <v>70</v>
      </c>
      <c r="W65">
        <v>17.4344729828399</v>
      </c>
      <c r="X65">
        <v>0.43033294999999999</v>
      </c>
      <c r="Y65">
        <f t="shared" si="0"/>
        <v>4.3500000000000005</v>
      </c>
    </row>
    <row r="66" spans="1:25" x14ac:dyDescent="0.35">
      <c r="A66" s="1">
        <v>46177</v>
      </c>
      <c r="B66">
        <v>0</v>
      </c>
      <c r="C66">
        <v>0</v>
      </c>
      <c r="D66">
        <v>0</v>
      </c>
      <c r="E66">
        <v>4.1500000000000004</v>
      </c>
      <c r="F66">
        <v>1.35</v>
      </c>
      <c r="G66">
        <v>997</v>
      </c>
      <c r="H66">
        <v>984</v>
      </c>
      <c r="I66">
        <v>13</v>
      </c>
      <c r="J66">
        <v>-1</v>
      </c>
      <c r="K66">
        <v>0</v>
      </c>
      <c r="L66">
        <v>5.1310000000000002</v>
      </c>
      <c r="M66">
        <v>-138.1</v>
      </c>
      <c r="N66">
        <v>-148.69999999999999</v>
      </c>
      <c r="O66">
        <v>1.381</v>
      </c>
      <c r="P66">
        <v>5.7240000000000002</v>
      </c>
      <c r="Q66">
        <v>-139.1</v>
      </c>
      <c r="R66">
        <v>-148.5</v>
      </c>
      <c r="S66">
        <v>1.385</v>
      </c>
      <c r="T66">
        <v>5.9248866916363498</v>
      </c>
      <c r="U66">
        <v>73</v>
      </c>
      <c r="V66">
        <v>70</v>
      </c>
      <c r="W66">
        <v>17.44223950724</v>
      </c>
      <c r="X66">
        <v>0.43043801999999998</v>
      </c>
      <c r="Y66">
        <f t="shared" si="0"/>
        <v>5.5</v>
      </c>
    </row>
    <row r="67" spans="1:25" x14ac:dyDescent="0.35">
      <c r="A67" s="1">
        <v>46178</v>
      </c>
      <c r="B67">
        <v>0</v>
      </c>
      <c r="C67">
        <v>0</v>
      </c>
      <c r="D67">
        <v>0</v>
      </c>
      <c r="E67">
        <v>3.2</v>
      </c>
      <c r="F67">
        <v>0.9</v>
      </c>
      <c r="G67">
        <v>993</v>
      </c>
      <c r="H67">
        <v>981.1</v>
      </c>
      <c r="I67">
        <v>11.9</v>
      </c>
      <c r="J67">
        <v>-1</v>
      </c>
      <c r="K67">
        <v>0</v>
      </c>
      <c r="L67">
        <v>5.1189999999999998</v>
      </c>
      <c r="M67">
        <v>-147.5</v>
      </c>
      <c r="N67">
        <v>-148.6</v>
      </c>
      <c r="O67">
        <v>1.444</v>
      </c>
      <c r="P67">
        <v>5.7030000000000003</v>
      </c>
      <c r="Q67">
        <v>-147.69999999999999</v>
      </c>
      <c r="R67">
        <v>-148.4</v>
      </c>
      <c r="S67">
        <v>1.45</v>
      </c>
      <c r="T67">
        <v>5.9500647014826002</v>
      </c>
      <c r="U67">
        <v>73</v>
      </c>
      <c r="V67">
        <v>70</v>
      </c>
      <c r="W67">
        <v>17.447873991479899</v>
      </c>
      <c r="X67">
        <v>0.43056720999999998</v>
      </c>
      <c r="Y67">
        <f t="shared" ref="Y67:Y106" si="1">SUM(C67:F67)</f>
        <v>4.1000000000000005</v>
      </c>
    </row>
    <row r="68" spans="1:25" x14ac:dyDescent="0.35">
      <c r="A68" s="1">
        <v>46179</v>
      </c>
      <c r="B68">
        <v>0</v>
      </c>
      <c r="C68">
        <v>0</v>
      </c>
      <c r="D68">
        <v>0</v>
      </c>
      <c r="E68">
        <v>0</v>
      </c>
      <c r="F68">
        <v>0</v>
      </c>
      <c r="G68">
        <v>993</v>
      </c>
      <c r="H68">
        <v>992.8</v>
      </c>
      <c r="I68">
        <v>0.2</v>
      </c>
      <c r="J68">
        <v>-1</v>
      </c>
      <c r="K68">
        <v>0</v>
      </c>
      <c r="L68">
        <v>5.1710000000000003</v>
      </c>
      <c r="M68">
        <v>-143.9</v>
      </c>
      <c r="N68">
        <v>-148.1</v>
      </c>
      <c r="O68">
        <v>1.5489999999999999</v>
      </c>
      <c r="P68">
        <v>5.7560000000000002</v>
      </c>
      <c r="Q68">
        <v>-136.5</v>
      </c>
      <c r="R68">
        <v>-148</v>
      </c>
      <c r="S68">
        <v>1.5529999999999999</v>
      </c>
      <c r="T68">
        <v>5.9500647014826002</v>
      </c>
      <c r="U68">
        <v>73</v>
      </c>
      <c r="V68">
        <v>70</v>
      </c>
      <c r="W68">
        <v>17.447873991479899</v>
      </c>
      <c r="X68">
        <v>0.43062582999999999</v>
      </c>
      <c r="Y68">
        <f t="shared" si="1"/>
        <v>0</v>
      </c>
    </row>
    <row r="69" spans="1:25" x14ac:dyDescent="0.35">
      <c r="A69" s="1">
        <v>46180</v>
      </c>
      <c r="B69">
        <v>0</v>
      </c>
      <c r="C69">
        <v>0</v>
      </c>
      <c r="D69">
        <v>0</v>
      </c>
      <c r="E69">
        <v>0</v>
      </c>
      <c r="F69">
        <v>0</v>
      </c>
      <c r="G69">
        <v>993</v>
      </c>
      <c r="H69">
        <v>1002.8</v>
      </c>
      <c r="I69">
        <v>-9.8000000000000007</v>
      </c>
      <c r="J69">
        <v>-1</v>
      </c>
      <c r="K69">
        <v>0</v>
      </c>
      <c r="L69">
        <v>5.2119999999999997</v>
      </c>
      <c r="M69">
        <v>-127.8</v>
      </c>
      <c r="N69">
        <v>-147.5</v>
      </c>
      <c r="O69">
        <v>1.6319999999999999</v>
      </c>
      <c r="P69">
        <v>5.8070000000000004</v>
      </c>
      <c r="Q69">
        <v>-131.4</v>
      </c>
      <c r="R69">
        <v>-147.4</v>
      </c>
      <c r="S69">
        <v>1.635</v>
      </c>
      <c r="T69">
        <v>5.9500647014826002</v>
      </c>
      <c r="U69">
        <v>73</v>
      </c>
      <c r="V69">
        <v>70</v>
      </c>
      <c r="W69">
        <v>17.447873991479899</v>
      </c>
      <c r="X69">
        <v>0.43067124000000001</v>
      </c>
      <c r="Y69">
        <f t="shared" si="1"/>
        <v>0</v>
      </c>
    </row>
    <row r="70" spans="1:25" x14ac:dyDescent="0.35">
      <c r="A70" s="1">
        <v>46181</v>
      </c>
      <c r="B70">
        <v>0</v>
      </c>
      <c r="C70">
        <v>0</v>
      </c>
      <c r="D70">
        <v>0</v>
      </c>
      <c r="E70">
        <v>0</v>
      </c>
      <c r="F70">
        <v>0</v>
      </c>
      <c r="G70">
        <v>993</v>
      </c>
      <c r="H70">
        <v>1007.5</v>
      </c>
      <c r="I70">
        <v>-14.5</v>
      </c>
      <c r="J70">
        <v>-1</v>
      </c>
      <c r="K70">
        <v>0</v>
      </c>
      <c r="L70">
        <v>5.2320000000000002</v>
      </c>
      <c r="M70">
        <v>-124.3</v>
      </c>
      <c r="N70">
        <v>-147</v>
      </c>
      <c r="O70">
        <v>1.7170000000000001</v>
      </c>
      <c r="P70">
        <v>5.8289999999999997</v>
      </c>
      <c r="Q70">
        <v>-132.30000000000001</v>
      </c>
      <c r="R70">
        <v>-146.9</v>
      </c>
      <c r="S70">
        <v>1.722</v>
      </c>
      <c r="T70">
        <v>5.9500647014826002</v>
      </c>
      <c r="U70">
        <v>73</v>
      </c>
      <c r="V70">
        <v>70</v>
      </c>
      <c r="W70">
        <v>17.447873991479899</v>
      </c>
      <c r="X70">
        <v>0.43068372999999999</v>
      </c>
      <c r="Y70">
        <f t="shared" si="1"/>
        <v>0</v>
      </c>
    </row>
    <row r="71" spans="1:25" x14ac:dyDescent="0.35">
      <c r="A71" s="1">
        <v>46182</v>
      </c>
      <c r="B71">
        <v>0</v>
      </c>
      <c r="C71">
        <v>0</v>
      </c>
      <c r="D71">
        <v>0</v>
      </c>
      <c r="E71">
        <v>0</v>
      </c>
      <c r="F71">
        <v>0</v>
      </c>
      <c r="G71">
        <v>993</v>
      </c>
      <c r="H71">
        <v>1007.4</v>
      </c>
      <c r="I71">
        <v>-14.4</v>
      </c>
      <c r="J71">
        <v>-1</v>
      </c>
      <c r="K71">
        <v>0</v>
      </c>
      <c r="L71">
        <v>5.2309999999999999</v>
      </c>
      <c r="M71">
        <v>-122.5</v>
      </c>
      <c r="N71">
        <v>-146.4</v>
      </c>
      <c r="O71">
        <v>1.8149999999999999</v>
      </c>
      <c r="P71">
        <v>5.827</v>
      </c>
      <c r="Q71">
        <v>-132.19999999999999</v>
      </c>
      <c r="R71">
        <v>-146.4</v>
      </c>
      <c r="S71">
        <v>1.819</v>
      </c>
      <c r="T71">
        <v>5.9500647014826002</v>
      </c>
      <c r="U71">
        <v>73</v>
      </c>
      <c r="V71">
        <v>70</v>
      </c>
      <c r="W71">
        <v>17.447873991479899</v>
      </c>
      <c r="X71">
        <v>0.43069740000000001</v>
      </c>
      <c r="Y71">
        <f t="shared" si="1"/>
        <v>0</v>
      </c>
    </row>
    <row r="72" spans="1:25" x14ac:dyDescent="0.35">
      <c r="A72" s="1">
        <v>46183</v>
      </c>
      <c r="B72">
        <v>0</v>
      </c>
      <c r="C72">
        <v>0</v>
      </c>
      <c r="D72">
        <v>0</v>
      </c>
      <c r="E72">
        <v>2.9</v>
      </c>
      <c r="F72">
        <v>0</v>
      </c>
      <c r="G72">
        <v>990</v>
      </c>
      <c r="H72">
        <v>1004.9</v>
      </c>
      <c r="I72">
        <v>-14.9</v>
      </c>
      <c r="J72">
        <v>-1</v>
      </c>
      <c r="K72">
        <v>0</v>
      </c>
      <c r="L72">
        <v>5.2130000000000001</v>
      </c>
      <c r="M72">
        <v>-142.19999999999999</v>
      </c>
      <c r="N72">
        <v>-146.1</v>
      </c>
      <c r="O72">
        <v>1.847</v>
      </c>
      <c r="P72">
        <v>5.8140000000000001</v>
      </c>
      <c r="Q72">
        <v>-145.1</v>
      </c>
      <c r="R72">
        <v>-146</v>
      </c>
      <c r="S72">
        <v>1.8520000000000001</v>
      </c>
      <c r="T72">
        <v>5.9669844657324704</v>
      </c>
      <c r="U72">
        <v>73</v>
      </c>
      <c r="V72">
        <v>70</v>
      </c>
      <c r="W72">
        <v>17.452123960639899</v>
      </c>
      <c r="X72">
        <v>0.43079362999999998</v>
      </c>
      <c r="Y72">
        <f t="shared" si="1"/>
        <v>2.9</v>
      </c>
    </row>
    <row r="73" spans="1:25" x14ac:dyDescent="0.35">
      <c r="A73" s="1">
        <v>46184</v>
      </c>
      <c r="B73">
        <v>0</v>
      </c>
      <c r="C73">
        <v>0</v>
      </c>
      <c r="D73">
        <v>0</v>
      </c>
      <c r="E73">
        <v>3.5</v>
      </c>
      <c r="F73">
        <v>0</v>
      </c>
      <c r="G73">
        <v>986.6</v>
      </c>
      <c r="H73">
        <v>1000.5</v>
      </c>
      <c r="I73">
        <v>-13.9</v>
      </c>
      <c r="J73">
        <v>-1</v>
      </c>
      <c r="K73">
        <v>0</v>
      </c>
      <c r="L73">
        <v>5.2110000000000003</v>
      </c>
      <c r="M73">
        <v>-145.1</v>
      </c>
      <c r="N73">
        <v>-145.9</v>
      </c>
      <c r="O73">
        <v>1.8939999999999999</v>
      </c>
      <c r="P73">
        <v>5.7709999999999999</v>
      </c>
      <c r="Q73">
        <v>-145.19999999999999</v>
      </c>
      <c r="R73">
        <v>-145.69999999999999</v>
      </c>
      <c r="S73">
        <v>1.8979999999999999</v>
      </c>
      <c r="T73">
        <v>5.9886693312567703</v>
      </c>
      <c r="U73">
        <v>73</v>
      </c>
      <c r="V73">
        <v>70</v>
      </c>
      <c r="W73">
        <v>17.457063163519901</v>
      </c>
      <c r="X73">
        <v>0.43090307</v>
      </c>
      <c r="Y73">
        <f t="shared" si="1"/>
        <v>3.5</v>
      </c>
    </row>
    <row r="74" spans="1:25" x14ac:dyDescent="0.35">
      <c r="A74" s="1">
        <v>46185</v>
      </c>
      <c r="B74">
        <v>0</v>
      </c>
      <c r="C74">
        <v>0</v>
      </c>
      <c r="D74">
        <v>0</v>
      </c>
      <c r="E74">
        <v>3.5</v>
      </c>
      <c r="F74">
        <v>0.1</v>
      </c>
      <c r="G74">
        <v>983</v>
      </c>
      <c r="H74">
        <v>999.8</v>
      </c>
      <c r="I74">
        <v>-16.8</v>
      </c>
      <c r="J74">
        <v>-1</v>
      </c>
      <c r="K74">
        <v>0</v>
      </c>
      <c r="L74">
        <v>5.181</v>
      </c>
      <c r="M74">
        <v>-140.69999999999999</v>
      </c>
      <c r="N74">
        <v>-145.69999999999999</v>
      </c>
      <c r="O74">
        <v>1.9139999999999999</v>
      </c>
      <c r="P74">
        <v>5.7939999999999996</v>
      </c>
      <c r="Q74">
        <v>-143.30000000000001</v>
      </c>
      <c r="R74">
        <v>-145.6</v>
      </c>
      <c r="S74">
        <v>1.9179999999999999</v>
      </c>
      <c r="T74">
        <v>6.0106668297058397</v>
      </c>
      <c r="U74">
        <v>73</v>
      </c>
      <c r="V74">
        <v>70</v>
      </c>
      <c r="W74">
        <v>17.4622428341399</v>
      </c>
      <c r="X74">
        <v>0.43101429000000002</v>
      </c>
      <c r="Y74">
        <f t="shared" si="1"/>
        <v>3.6</v>
      </c>
    </row>
    <row r="75" spans="1:25" x14ac:dyDescent="0.35">
      <c r="A75" s="1">
        <v>46186</v>
      </c>
      <c r="B75">
        <v>0</v>
      </c>
      <c r="C75">
        <v>0</v>
      </c>
      <c r="D75">
        <v>0</v>
      </c>
      <c r="E75">
        <v>3.5</v>
      </c>
      <c r="F75">
        <v>0.1</v>
      </c>
      <c r="G75">
        <v>979.4</v>
      </c>
      <c r="H75">
        <v>994.9</v>
      </c>
      <c r="I75">
        <v>-15.5</v>
      </c>
      <c r="J75">
        <v>-1</v>
      </c>
      <c r="K75">
        <v>0</v>
      </c>
      <c r="L75">
        <v>5.165</v>
      </c>
      <c r="M75">
        <v>-135.69999999999999</v>
      </c>
      <c r="N75">
        <v>-145.69999999999999</v>
      </c>
      <c r="O75">
        <v>1.9259999999999999</v>
      </c>
      <c r="P75">
        <v>5.7640000000000002</v>
      </c>
      <c r="Q75">
        <v>-141.69999999999999</v>
      </c>
      <c r="R75">
        <v>-145.5</v>
      </c>
      <c r="S75">
        <v>1.93</v>
      </c>
      <c r="T75">
        <v>6.0325340422728599</v>
      </c>
      <c r="U75">
        <v>73</v>
      </c>
      <c r="V75">
        <v>70</v>
      </c>
      <c r="W75">
        <v>17.467508680119899</v>
      </c>
      <c r="X75">
        <v>0.43112455999999999</v>
      </c>
      <c r="Y75">
        <f t="shared" si="1"/>
        <v>3.6</v>
      </c>
    </row>
    <row r="76" spans="1:25" x14ac:dyDescent="0.35">
      <c r="A76" s="1">
        <v>46187</v>
      </c>
      <c r="B76">
        <v>0</v>
      </c>
      <c r="C76">
        <v>0</v>
      </c>
      <c r="D76">
        <v>0</v>
      </c>
      <c r="E76">
        <v>3.9</v>
      </c>
      <c r="F76">
        <v>0.2</v>
      </c>
      <c r="G76">
        <v>975.2</v>
      </c>
      <c r="H76">
        <v>991.9</v>
      </c>
      <c r="I76">
        <v>-16.7</v>
      </c>
      <c r="J76">
        <v>-1</v>
      </c>
      <c r="K76">
        <v>0</v>
      </c>
      <c r="L76">
        <v>5.1529999999999996</v>
      </c>
      <c r="M76">
        <v>-133.69999999999999</v>
      </c>
      <c r="N76">
        <v>-145.6</v>
      </c>
      <c r="O76">
        <v>1.931</v>
      </c>
      <c r="P76">
        <v>5.7460000000000004</v>
      </c>
      <c r="Q76">
        <v>-142.80000000000001</v>
      </c>
      <c r="R76">
        <v>-145.4</v>
      </c>
      <c r="S76">
        <v>1.9350000000000001</v>
      </c>
      <c r="T76">
        <v>6.0581339852096896</v>
      </c>
      <c r="U76">
        <v>72</v>
      </c>
      <c r="V76">
        <v>70</v>
      </c>
      <c r="W76">
        <v>17.473511887199901</v>
      </c>
      <c r="X76">
        <v>0.43125156999999997</v>
      </c>
      <c r="Y76">
        <f t="shared" si="1"/>
        <v>4.0999999999999996</v>
      </c>
    </row>
    <row r="77" spans="1:25" x14ac:dyDescent="0.35">
      <c r="A77" s="1">
        <v>46188</v>
      </c>
      <c r="B77">
        <v>0</v>
      </c>
      <c r="C77">
        <v>0</v>
      </c>
      <c r="D77">
        <v>0</v>
      </c>
      <c r="E77">
        <v>4.8</v>
      </c>
      <c r="F77">
        <v>2.7</v>
      </c>
      <c r="G77">
        <v>967.8</v>
      </c>
      <c r="H77">
        <v>988.5</v>
      </c>
      <c r="I77">
        <v>-20.7</v>
      </c>
      <c r="J77">
        <v>-1</v>
      </c>
      <c r="K77">
        <v>0</v>
      </c>
      <c r="L77">
        <v>5.1379999999999999</v>
      </c>
      <c r="M77">
        <v>-135.69999999999999</v>
      </c>
      <c r="N77">
        <v>-145.80000000000001</v>
      </c>
      <c r="O77">
        <v>1.8660000000000001</v>
      </c>
      <c r="P77">
        <v>5.726</v>
      </c>
      <c r="Q77">
        <v>-144.9</v>
      </c>
      <c r="R77">
        <v>-145.6</v>
      </c>
      <c r="S77">
        <v>1.87</v>
      </c>
      <c r="T77">
        <v>6.1056240376275603</v>
      </c>
      <c r="U77">
        <v>72</v>
      </c>
      <c r="V77">
        <v>70</v>
      </c>
      <c r="W77">
        <v>17.4845384566399</v>
      </c>
      <c r="X77">
        <v>0.43147637</v>
      </c>
      <c r="Y77">
        <f t="shared" si="1"/>
        <v>7.5</v>
      </c>
    </row>
    <row r="78" spans="1:25" x14ac:dyDescent="0.35">
      <c r="A78" s="1">
        <v>46189</v>
      </c>
      <c r="B78">
        <v>0</v>
      </c>
      <c r="C78">
        <v>11.9</v>
      </c>
      <c r="D78">
        <v>0</v>
      </c>
      <c r="E78">
        <v>6.8</v>
      </c>
      <c r="F78">
        <v>13</v>
      </c>
      <c r="G78">
        <v>936</v>
      </c>
      <c r="H78">
        <v>955.6</v>
      </c>
      <c r="I78">
        <v>-19.600000000000001</v>
      </c>
      <c r="J78">
        <v>-1</v>
      </c>
      <c r="K78">
        <v>0</v>
      </c>
      <c r="L78">
        <v>5.0739999999999998</v>
      </c>
      <c r="M78">
        <v>-145.6</v>
      </c>
      <c r="N78">
        <v>-146.9</v>
      </c>
      <c r="O78">
        <v>1.6919999999999999</v>
      </c>
      <c r="P78">
        <v>5.48</v>
      </c>
      <c r="Q78">
        <v>-146.4</v>
      </c>
      <c r="R78">
        <v>-146.69999999999999</v>
      </c>
      <c r="S78">
        <v>1.6970000000000001</v>
      </c>
      <c r="T78">
        <v>6.23526771428768</v>
      </c>
      <c r="U78">
        <v>72</v>
      </c>
      <c r="V78">
        <v>70</v>
      </c>
      <c r="W78">
        <v>17.515015353299901</v>
      </c>
      <c r="X78">
        <v>0.43208594</v>
      </c>
      <c r="Y78">
        <f t="shared" si="1"/>
        <v>31.7</v>
      </c>
    </row>
    <row r="79" spans="1:25" x14ac:dyDescent="0.35">
      <c r="A79" s="1">
        <v>46190</v>
      </c>
      <c r="B79">
        <v>0</v>
      </c>
      <c r="C79">
        <v>26.4</v>
      </c>
      <c r="D79">
        <v>0</v>
      </c>
      <c r="E79">
        <v>7</v>
      </c>
      <c r="F79">
        <v>4.4000000000000004</v>
      </c>
      <c r="G79">
        <v>898.2</v>
      </c>
      <c r="H79">
        <v>925.6</v>
      </c>
      <c r="I79">
        <v>-27.4</v>
      </c>
      <c r="J79">
        <v>-1</v>
      </c>
      <c r="K79">
        <v>0</v>
      </c>
      <c r="L79">
        <v>5.048</v>
      </c>
      <c r="M79">
        <v>-145.1</v>
      </c>
      <c r="N79">
        <v>-147</v>
      </c>
      <c r="O79">
        <v>1.6859999999999999</v>
      </c>
      <c r="P79">
        <v>5.2290000000000001</v>
      </c>
      <c r="Q79">
        <v>-145.69999999999999</v>
      </c>
      <c r="R79">
        <v>-146.80000000000001</v>
      </c>
      <c r="S79">
        <v>1.69</v>
      </c>
      <c r="T79">
        <v>6.3142694786730802</v>
      </c>
      <c r="U79">
        <v>72</v>
      </c>
      <c r="V79">
        <v>70</v>
      </c>
      <c r="W79">
        <v>17.533768383279899</v>
      </c>
      <c r="X79">
        <v>0.43247374</v>
      </c>
      <c r="Y79">
        <f t="shared" si="1"/>
        <v>37.799999999999997</v>
      </c>
    </row>
    <row r="80" spans="1:25" x14ac:dyDescent="0.35">
      <c r="A80" s="1">
        <v>46191</v>
      </c>
      <c r="B80">
        <v>0</v>
      </c>
      <c r="C80">
        <v>26</v>
      </c>
      <c r="D80">
        <v>0</v>
      </c>
      <c r="E80">
        <v>6.7</v>
      </c>
      <c r="F80">
        <v>0.3</v>
      </c>
      <c r="G80">
        <v>865.2</v>
      </c>
      <c r="H80">
        <v>893.8</v>
      </c>
      <c r="I80">
        <v>-28.6</v>
      </c>
      <c r="J80">
        <v>-1</v>
      </c>
      <c r="K80">
        <v>0</v>
      </c>
      <c r="L80">
        <v>5.032</v>
      </c>
      <c r="M80">
        <v>-144.1</v>
      </c>
      <c r="N80">
        <v>-146.80000000000001</v>
      </c>
      <c r="O80">
        <v>1.728</v>
      </c>
      <c r="P80">
        <v>4.9569999999999999</v>
      </c>
      <c r="Q80">
        <v>-144.5</v>
      </c>
      <c r="R80">
        <v>-146.5</v>
      </c>
      <c r="S80">
        <v>1.732</v>
      </c>
      <c r="T80">
        <v>6.3656961554522704</v>
      </c>
      <c r="U80">
        <v>72</v>
      </c>
      <c r="V80">
        <v>70</v>
      </c>
      <c r="W80">
        <v>17.545772781559901</v>
      </c>
      <c r="X80">
        <v>0.43272881000000002</v>
      </c>
      <c r="Y80">
        <f t="shared" si="1"/>
        <v>33</v>
      </c>
    </row>
    <row r="81" spans="1:25" x14ac:dyDescent="0.35">
      <c r="A81" s="1">
        <v>46192</v>
      </c>
      <c r="B81">
        <v>0</v>
      </c>
      <c r="C81">
        <v>4.4000000000000004</v>
      </c>
      <c r="D81">
        <v>0</v>
      </c>
      <c r="E81">
        <v>4.7</v>
      </c>
      <c r="F81">
        <v>0.1</v>
      </c>
      <c r="G81">
        <v>856</v>
      </c>
      <c r="H81">
        <v>885.1</v>
      </c>
      <c r="I81">
        <v>-29.1</v>
      </c>
      <c r="J81">
        <v>-1</v>
      </c>
      <c r="K81">
        <v>0</v>
      </c>
      <c r="L81">
        <v>5.024</v>
      </c>
      <c r="M81">
        <v>-145.1</v>
      </c>
      <c r="N81">
        <v>-146.5</v>
      </c>
      <c r="O81">
        <v>1.76</v>
      </c>
      <c r="P81">
        <v>4.8840000000000003</v>
      </c>
      <c r="Q81">
        <v>-143.9</v>
      </c>
      <c r="R81">
        <v>-146.4</v>
      </c>
      <c r="S81">
        <v>1.7629999999999999</v>
      </c>
      <c r="T81">
        <v>6.4012720576108402</v>
      </c>
      <c r="U81">
        <v>72</v>
      </c>
      <c r="V81">
        <v>70</v>
      </c>
      <c r="W81">
        <v>17.554220560739999</v>
      </c>
      <c r="X81">
        <v>0.43290813</v>
      </c>
      <c r="Y81">
        <f t="shared" si="1"/>
        <v>9.2000000000000011</v>
      </c>
    </row>
    <row r="82" spans="1:25" x14ac:dyDescent="0.35">
      <c r="A82" s="1">
        <v>46193</v>
      </c>
      <c r="B82">
        <v>0</v>
      </c>
      <c r="C82">
        <v>0</v>
      </c>
      <c r="D82">
        <v>0</v>
      </c>
      <c r="E82">
        <v>5.9</v>
      </c>
      <c r="F82">
        <v>9.4</v>
      </c>
      <c r="G82">
        <v>840.8</v>
      </c>
      <c r="H82">
        <v>868.8</v>
      </c>
      <c r="I82">
        <v>-28</v>
      </c>
      <c r="J82">
        <v>-1</v>
      </c>
      <c r="K82">
        <v>0</v>
      </c>
      <c r="L82">
        <v>4.9809999999999999</v>
      </c>
      <c r="M82">
        <v>-145.9</v>
      </c>
      <c r="N82">
        <v>-147.30000000000001</v>
      </c>
      <c r="O82">
        <v>1.6259999999999999</v>
      </c>
      <c r="P82">
        <v>4.7759999999999998</v>
      </c>
      <c r="Q82">
        <v>-145.4</v>
      </c>
      <c r="R82">
        <v>-147.1</v>
      </c>
      <c r="S82">
        <v>1.629</v>
      </c>
      <c r="T82">
        <v>6.5178430012462103</v>
      </c>
      <c r="U82">
        <v>72</v>
      </c>
      <c r="V82">
        <v>70</v>
      </c>
      <c r="W82">
        <v>17.581695853859902</v>
      </c>
      <c r="X82">
        <v>0.43345428000000003</v>
      </c>
      <c r="Y82">
        <f t="shared" si="1"/>
        <v>15.3</v>
      </c>
    </row>
    <row r="83" spans="1:25" x14ac:dyDescent="0.35">
      <c r="A83" s="1">
        <v>46194</v>
      </c>
      <c r="B83">
        <v>0</v>
      </c>
      <c r="C83">
        <v>0</v>
      </c>
      <c r="D83">
        <v>0</v>
      </c>
      <c r="E83">
        <v>5.9</v>
      </c>
      <c r="F83">
        <v>14.4</v>
      </c>
      <c r="G83">
        <v>820.4</v>
      </c>
      <c r="H83">
        <v>858.2</v>
      </c>
      <c r="I83">
        <v>-37.799999999999997</v>
      </c>
      <c r="J83">
        <v>0</v>
      </c>
      <c r="K83">
        <v>0</v>
      </c>
      <c r="L83">
        <v>4.9109999999999996</v>
      </c>
      <c r="M83">
        <v>-147.1</v>
      </c>
      <c r="N83">
        <v>-147.30000000000001</v>
      </c>
      <c r="O83">
        <v>1.6180000000000001</v>
      </c>
      <c r="P83">
        <v>4.681</v>
      </c>
      <c r="Q83">
        <v>-146.9</v>
      </c>
      <c r="R83">
        <v>-147.1</v>
      </c>
      <c r="S83">
        <v>1.621</v>
      </c>
      <c r="T83">
        <v>6.6789310642609001</v>
      </c>
      <c r="U83">
        <v>71</v>
      </c>
      <c r="V83">
        <v>70</v>
      </c>
      <c r="W83">
        <v>17.61976894008</v>
      </c>
      <c r="X83">
        <v>0.43422616000000003</v>
      </c>
      <c r="Y83">
        <f t="shared" si="1"/>
        <v>20.3</v>
      </c>
    </row>
    <row r="84" spans="1:25" x14ac:dyDescent="0.35">
      <c r="A84" s="1">
        <v>46195</v>
      </c>
      <c r="B84">
        <v>0</v>
      </c>
      <c r="C84">
        <v>0</v>
      </c>
      <c r="D84">
        <v>0</v>
      </c>
      <c r="E84">
        <v>5</v>
      </c>
      <c r="F84">
        <v>3.4</v>
      </c>
      <c r="G84">
        <v>812</v>
      </c>
      <c r="H84">
        <v>850.7</v>
      </c>
      <c r="I84">
        <v>-38.700000000000003</v>
      </c>
      <c r="J84">
        <v>0</v>
      </c>
      <c r="K84">
        <v>0</v>
      </c>
      <c r="L84">
        <v>4.8899999999999997</v>
      </c>
      <c r="M84">
        <v>-143.1</v>
      </c>
      <c r="N84">
        <v>-147.4</v>
      </c>
      <c r="O84">
        <v>1.575</v>
      </c>
      <c r="P84">
        <v>4.6340000000000003</v>
      </c>
      <c r="Q84">
        <v>-142</v>
      </c>
      <c r="R84">
        <v>-147.19999999999999</v>
      </c>
      <c r="S84">
        <v>1.579</v>
      </c>
      <c r="T84">
        <v>6.7479846306748801</v>
      </c>
      <c r="U84">
        <v>71</v>
      </c>
      <c r="V84">
        <v>70</v>
      </c>
      <c r="W84">
        <v>17.636175584019998</v>
      </c>
      <c r="X84">
        <v>0.43454598999999999</v>
      </c>
      <c r="Y84">
        <f t="shared" si="1"/>
        <v>8.4</v>
      </c>
    </row>
    <row r="85" spans="1:25" x14ac:dyDescent="0.35">
      <c r="A85" s="1">
        <v>46196</v>
      </c>
      <c r="B85">
        <v>0</v>
      </c>
      <c r="C85">
        <v>0</v>
      </c>
      <c r="D85">
        <v>0</v>
      </c>
      <c r="E85">
        <v>5.3</v>
      </c>
      <c r="F85">
        <v>1.3</v>
      </c>
      <c r="G85">
        <v>805.4</v>
      </c>
      <c r="H85">
        <v>843.2</v>
      </c>
      <c r="I85">
        <v>-37.799999999999997</v>
      </c>
      <c r="J85">
        <v>0</v>
      </c>
      <c r="K85">
        <v>0</v>
      </c>
      <c r="L85">
        <v>4.8570000000000002</v>
      </c>
      <c r="M85">
        <v>-135.4</v>
      </c>
      <c r="N85">
        <v>-147.80000000000001</v>
      </c>
      <c r="O85">
        <v>1.5089999999999999</v>
      </c>
      <c r="P85">
        <v>4.6020000000000003</v>
      </c>
      <c r="Q85">
        <v>-134.30000000000001</v>
      </c>
      <c r="R85">
        <v>-147.6</v>
      </c>
      <c r="S85">
        <v>1.514</v>
      </c>
      <c r="T85">
        <v>6.8030877564468897</v>
      </c>
      <c r="U85">
        <v>71</v>
      </c>
      <c r="V85">
        <v>70</v>
      </c>
      <c r="W85">
        <v>17.64922995992</v>
      </c>
      <c r="X85">
        <v>0.43476221999999998</v>
      </c>
      <c r="Y85">
        <f t="shared" si="1"/>
        <v>6.6</v>
      </c>
    </row>
    <row r="86" spans="1:25" x14ac:dyDescent="0.35">
      <c r="A86" s="1">
        <v>46197</v>
      </c>
      <c r="B86">
        <v>0</v>
      </c>
      <c r="C86">
        <v>0</v>
      </c>
      <c r="D86">
        <v>0</v>
      </c>
      <c r="E86">
        <v>4.4000000000000004</v>
      </c>
      <c r="F86">
        <v>1.1000000000000001</v>
      </c>
      <c r="G86">
        <v>800</v>
      </c>
      <c r="H86">
        <v>838.7</v>
      </c>
      <c r="I86">
        <v>-38.700000000000003</v>
      </c>
      <c r="J86">
        <v>0</v>
      </c>
      <c r="K86">
        <v>0</v>
      </c>
      <c r="L86">
        <v>4.835</v>
      </c>
      <c r="M86">
        <v>-131.9</v>
      </c>
      <c r="N86">
        <v>-148.1</v>
      </c>
      <c r="O86">
        <v>1.46</v>
      </c>
      <c r="P86">
        <v>4.5839999999999996</v>
      </c>
      <c r="Q86">
        <v>-130.19999999999999</v>
      </c>
      <c r="R86">
        <v>-147.9</v>
      </c>
      <c r="S86">
        <v>1.464</v>
      </c>
      <c r="T86">
        <v>6.8498539706199502</v>
      </c>
      <c r="U86">
        <v>71</v>
      </c>
      <c r="V86">
        <v>70</v>
      </c>
      <c r="W86">
        <v>17.660258545239898</v>
      </c>
      <c r="X86">
        <v>0.43495008000000002</v>
      </c>
      <c r="Y86">
        <f t="shared" si="1"/>
        <v>5.5</v>
      </c>
    </row>
    <row r="87" spans="1:25" x14ac:dyDescent="0.35">
      <c r="A87" s="1">
        <v>46198</v>
      </c>
      <c r="B87">
        <v>0</v>
      </c>
      <c r="C87">
        <v>0</v>
      </c>
      <c r="D87">
        <v>0</v>
      </c>
      <c r="E87">
        <v>3.5</v>
      </c>
      <c r="F87">
        <v>1</v>
      </c>
      <c r="G87">
        <v>795.4</v>
      </c>
      <c r="H87">
        <v>835.1</v>
      </c>
      <c r="I87">
        <v>-39.700000000000003</v>
      </c>
      <c r="J87">
        <v>0</v>
      </c>
      <c r="K87">
        <v>0</v>
      </c>
      <c r="L87">
        <v>4.8230000000000004</v>
      </c>
      <c r="M87">
        <v>-130.1</v>
      </c>
      <c r="N87">
        <v>-148.30000000000001</v>
      </c>
      <c r="O87">
        <v>1.4339999999999999</v>
      </c>
      <c r="P87">
        <v>4.5629999999999997</v>
      </c>
      <c r="Q87">
        <v>-128.5</v>
      </c>
      <c r="R87">
        <v>-148.1</v>
      </c>
      <c r="S87">
        <v>1.4379999999999999</v>
      </c>
      <c r="T87">
        <v>6.8888298482439296</v>
      </c>
      <c r="U87">
        <v>71</v>
      </c>
      <c r="V87">
        <v>70</v>
      </c>
      <c r="W87">
        <v>17.669387579199899</v>
      </c>
      <c r="X87">
        <v>0.43511165000000002</v>
      </c>
      <c r="Y87">
        <f t="shared" si="1"/>
        <v>4.5</v>
      </c>
    </row>
    <row r="88" spans="1:25" x14ac:dyDescent="0.35">
      <c r="A88" s="1">
        <v>46199</v>
      </c>
      <c r="B88">
        <v>0</v>
      </c>
      <c r="C88">
        <v>0</v>
      </c>
      <c r="D88">
        <v>0</v>
      </c>
      <c r="E88">
        <v>3.4</v>
      </c>
      <c r="F88">
        <v>1.2</v>
      </c>
      <c r="G88">
        <v>790.8</v>
      </c>
      <c r="H88">
        <v>829.3</v>
      </c>
      <c r="I88">
        <v>-38.5</v>
      </c>
      <c r="J88">
        <v>0</v>
      </c>
      <c r="K88">
        <v>0</v>
      </c>
      <c r="L88">
        <v>4.7910000000000004</v>
      </c>
      <c r="M88">
        <v>-129.69999999999999</v>
      </c>
      <c r="N88">
        <v>-148.6</v>
      </c>
      <c r="O88">
        <v>1.3819999999999999</v>
      </c>
      <c r="P88">
        <v>4.5430000000000001</v>
      </c>
      <c r="Q88">
        <v>-128.19999999999999</v>
      </c>
      <c r="R88">
        <v>-148.30000000000001</v>
      </c>
      <c r="S88">
        <v>1.387</v>
      </c>
      <c r="T88">
        <v>6.9288336117114602</v>
      </c>
      <c r="U88">
        <v>71</v>
      </c>
      <c r="V88">
        <v>70</v>
      </c>
      <c r="W88">
        <v>17.67885325108</v>
      </c>
      <c r="X88">
        <v>0.43527389999999999</v>
      </c>
      <c r="Y88">
        <f t="shared" si="1"/>
        <v>4.5999999999999996</v>
      </c>
    </row>
    <row r="89" spans="1:25" x14ac:dyDescent="0.35">
      <c r="A89" s="1">
        <v>46200</v>
      </c>
      <c r="B89">
        <v>0</v>
      </c>
      <c r="C89">
        <v>0</v>
      </c>
      <c r="D89">
        <v>0</v>
      </c>
      <c r="E89">
        <v>6</v>
      </c>
      <c r="F89">
        <v>1.1000000000000001</v>
      </c>
      <c r="G89">
        <v>783.8</v>
      </c>
      <c r="H89">
        <v>822.3</v>
      </c>
      <c r="I89">
        <v>-38.5</v>
      </c>
      <c r="J89">
        <v>0</v>
      </c>
      <c r="K89">
        <v>0</v>
      </c>
      <c r="L89">
        <v>4.7569999999999997</v>
      </c>
      <c r="M89">
        <v>-130.80000000000001</v>
      </c>
      <c r="N89">
        <v>-149</v>
      </c>
      <c r="O89">
        <v>1.304</v>
      </c>
      <c r="P89">
        <v>4.5129999999999999</v>
      </c>
      <c r="Q89">
        <v>-129</v>
      </c>
      <c r="R89">
        <v>-148.9</v>
      </c>
      <c r="S89">
        <v>1.302</v>
      </c>
      <c r="T89">
        <v>6.9912267960479797</v>
      </c>
      <c r="U89">
        <v>71</v>
      </c>
      <c r="V89">
        <v>70</v>
      </c>
      <c r="W89">
        <v>17.693680939119901</v>
      </c>
      <c r="X89">
        <v>0.43551632000000001</v>
      </c>
      <c r="Y89">
        <f t="shared" si="1"/>
        <v>7.1</v>
      </c>
    </row>
    <row r="90" spans="1:25" x14ac:dyDescent="0.35">
      <c r="A90" s="1">
        <v>46201</v>
      </c>
      <c r="B90">
        <v>0</v>
      </c>
      <c r="C90">
        <v>0</v>
      </c>
      <c r="D90">
        <v>0</v>
      </c>
      <c r="E90">
        <v>6</v>
      </c>
      <c r="F90">
        <v>1.1000000000000001</v>
      </c>
      <c r="G90">
        <v>776.6</v>
      </c>
      <c r="H90">
        <v>793.8</v>
      </c>
      <c r="I90">
        <v>-17.2</v>
      </c>
      <c r="J90">
        <v>0</v>
      </c>
      <c r="K90">
        <v>0</v>
      </c>
      <c r="L90">
        <v>4.633</v>
      </c>
      <c r="M90">
        <v>-129.9</v>
      </c>
      <c r="N90">
        <v>-149.4</v>
      </c>
      <c r="O90">
        <v>1.254</v>
      </c>
      <c r="P90">
        <v>4.3849999999999998</v>
      </c>
      <c r="Q90">
        <v>-128.19999999999999</v>
      </c>
      <c r="R90">
        <v>-149.19999999999999</v>
      </c>
      <c r="S90">
        <v>1.2529999999999999</v>
      </c>
      <c r="T90">
        <v>7.05464259050395</v>
      </c>
      <c r="U90">
        <v>71</v>
      </c>
      <c r="V90">
        <v>70</v>
      </c>
      <c r="W90">
        <v>17.7088172119199</v>
      </c>
      <c r="X90">
        <v>0.43578240000000001</v>
      </c>
      <c r="Y90">
        <f t="shared" si="1"/>
        <v>7.1</v>
      </c>
    </row>
    <row r="91" spans="1:25" x14ac:dyDescent="0.35">
      <c r="A91" s="1">
        <v>46202</v>
      </c>
      <c r="B91">
        <v>0</v>
      </c>
      <c r="C91">
        <v>0</v>
      </c>
      <c r="D91">
        <v>0</v>
      </c>
      <c r="E91">
        <v>3.3</v>
      </c>
      <c r="F91">
        <v>0.7</v>
      </c>
      <c r="G91">
        <v>772.6</v>
      </c>
      <c r="H91">
        <v>785.4</v>
      </c>
      <c r="I91">
        <v>-12.8</v>
      </c>
      <c r="J91">
        <v>0</v>
      </c>
      <c r="K91">
        <v>0</v>
      </c>
      <c r="L91">
        <v>4.593</v>
      </c>
      <c r="M91">
        <v>-128.30000000000001</v>
      </c>
      <c r="N91">
        <v>-149.5</v>
      </c>
      <c r="O91">
        <v>1.2509999999999999</v>
      </c>
      <c r="P91">
        <v>4.3499999999999996</v>
      </c>
      <c r="Q91">
        <v>-126.4</v>
      </c>
      <c r="R91">
        <v>-149.30000000000001</v>
      </c>
      <c r="S91">
        <v>1.2549999999999999</v>
      </c>
      <c r="T91">
        <v>7.0912482243028396</v>
      </c>
      <c r="U91">
        <v>71</v>
      </c>
      <c r="V91">
        <v>70</v>
      </c>
      <c r="W91">
        <v>17.717387198559901</v>
      </c>
      <c r="X91">
        <v>0.43594547</v>
      </c>
      <c r="Y91">
        <f t="shared" si="1"/>
        <v>4</v>
      </c>
    </row>
    <row r="92" spans="1:25" x14ac:dyDescent="0.35">
      <c r="A92" s="1">
        <v>46203</v>
      </c>
      <c r="B92">
        <v>0</v>
      </c>
      <c r="C92">
        <v>0</v>
      </c>
      <c r="D92">
        <v>0</v>
      </c>
      <c r="E92">
        <v>3</v>
      </c>
      <c r="F92">
        <v>0</v>
      </c>
      <c r="G92">
        <v>769.6</v>
      </c>
      <c r="H92">
        <v>783.7</v>
      </c>
      <c r="I92">
        <v>-14.1</v>
      </c>
      <c r="J92">
        <v>0</v>
      </c>
      <c r="K92">
        <v>0</v>
      </c>
      <c r="L92">
        <v>4.577</v>
      </c>
      <c r="M92">
        <v>-140.30000000000001</v>
      </c>
      <c r="N92">
        <v>-149.30000000000001</v>
      </c>
      <c r="O92">
        <v>1.288</v>
      </c>
      <c r="P92">
        <v>4.3449999999999998</v>
      </c>
      <c r="Q92">
        <v>-131.1</v>
      </c>
      <c r="R92">
        <v>-149.1</v>
      </c>
      <c r="S92">
        <v>1.292</v>
      </c>
      <c r="T92">
        <v>7.1188605677328098</v>
      </c>
      <c r="U92">
        <v>71</v>
      </c>
      <c r="V92">
        <v>70</v>
      </c>
      <c r="W92">
        <v>17.723849251019999</v>
      </c>
      <c r="X92">
        <v>0.43610064999999998</v>
      </c>
      <c r="Y92">
        <f t="shared" si="1"/>
        <v>3</v>
      </c>
    </row>
    <row r="93" spans="1:25" x14ac:dyDescent="0.35">
      <c r="A93" s="1">
        <v>46204</v>
      </c>
      <c r="B93">
        <v>0</v>
      </c>
      <c r="C93">
        <v>0</v>
      </c>
      <c r="D93">
        <v>0</v>
      </c>
      <c r="E93">
        <v>2.8</v>
      </c>
      <c r="F93">
        <v>0.5</v>
      </c>
      <c r="G93">
        <v>766.4</v>
      </c>
      <c r="H93">
        <v>785.4</v>
      </c>
      <c r="I93">
        <v>-19</v>
      </c>
      <c r="J93">
        <v>0</v>
      </c>
      <c r="K93">
        <v>0</v>
      </c>
      <c r="L93">
        <v>4.593</v>
      </c>
      <c r="M93">
        <v>-146.4</v>
      </c>
      <c r="N93">
        <v>-149.1</v>
      </c>
      <c r="O93">
        <v>1.3169999999999999</v>
      </c>
      <c r="P93">
        <v>4.3380000000000001</v>
      </c>
      <c r="Q93">
        <v>-136.69999999999999</v>
      </c>
      <c r="R93">
        <v>-148.9</v>
      </c>
      <c r="S93">
        <v>1.321</v>
      </c>
      <c r="T93">
        <v>7.1493229400756997</v>
      </c>
      <c r="U93">
        <v>70</v>
      </c>
      <c r="V93">
        <v>70</v>
      </c>
      <c r="W93">
        <v>17.731152898279898</v>
      </c>
      <c r="X93">
        <v>0.43627194000000002</v>
      </c>
      <c r="Y93">
        <f t="shared" si="1"/>
        <v>3.3</v>
      </c>
    </row>
    <row r="94" spans="1:25" x14ac:dyDescent="0.35">
      <c r="A94" s="1">
        <v>46205</v>
      </c>
      <c r="B94">
        <v>0</v>
      </c>
      <c r="C94">
        <v>0</v>
      </c>
      <c r="D94">
        <v>0</v>
      </c>
      <c r="E94">
        <v>3</v>
      </c>
      <c r="F94">
        <v>0.5</v>
      </c>
      <c r="G94">
        <v>762.8</v>
      </c>
      <c r="H94">
        <v>780</v>
      </c>
      <c r="I94">
        <v>-17.2</v>
      </c>
      <c r="J94">
        <v>0</v>
      </c>
      <c r="K94">
        <v>0</v>
      </c>
      <c r="L94">
        <v>4.5640000000000001</v>
      </c>
      <c r="M94">
        <v>-147.9</v>
      </c>
      <c r="N94">
        <v>-148.80000000000001</v>
      </c>
      <c r="O94">
        <v>1.3660000000000001</v>
      </c>
      <c r="P94">
        <v>4.3129999999999997</v>
      </c>
      <c r="Q94">
        <v>-147.1</v>
      </c>
      <c r="R94">
        <v>-148.6</v>
      </c>
      <c r="S94">
        <v>1.369</v>
      </c>
      <c r="T94">
        <v>7.1814463925896597</v>
      </c>
      <c r="U94">
        <v>70</v>
      </c>
      <c r="V94">
        <v>70</v>
      </c>
      <c r="W94">
        <v>17.738989555579899</v>
      </c>
      <c r="X94">
        <v>0.43646510999999999</v>
      </c>
      <c r="Y94">
        <f t="shared" si="1"/>
        <v>3.5</v>
      </c>
    </row>
    <row r="95" spans="1:25" x14ac:dyDescent="0.35">
      <c r="A95" s="1">
        <v>46206</v>
      </c>
      <c r="B95">
        <v>0</v>
      </c>
      <c r="C95">
        <v>0</v>
      </c>
      <c r="D95">
        <v>0</v>
      </c>
      <c r="E95">
        <v>2.7</v>
      </c>
      <c r="F95">
        <v>0</v>
      </c>
      <c r="G95">
        <v>760.2</v>
      </c>
      <c r="H95">
        <v>778.8</v>
      </c>
      <c r="I95">
        <v>-18.600000000000001</v>
      </c>
      <c r="J95">
        <v>0</v>
      </c>
      <c r="K95">
        <v>0</v>
      </c>
      <c r="L95">
        <v>4.556</v>
      </c>
      <c r="M95">
        <v>-146.30000000000001</v>
      </c>
      <c r="N95">
        <v>-148.6</v>
      </c>
      <c r="O95">
        <v>1.405</v>
      </c>
      <c r="P95">
        <v>4.3079999999999998</v>
      </c>
      <c r="Q95">
        <v>-144.30000000000001</v>
      </c>
      <c r="R95">
        <v>-148.4</v>
      </c>
      <c r="S95">
        <v>1.409</v>
      </c>
      <c r="T95">
        <v>7.2066785060621701</v>
      </c>
      <c r="U95">
        <v>70</v>
      </c>
      <c r="V95">
        <v>70</v>
      </c>
      <c r="W95">
        <v>17.744992762659901</v>
      </c>
      <c r="X95">
        <v>0.43661013999999998</v>
      </c>
      <c r="Y95">
        <f t="shared" si="1"/>
        <v>2.7</v>
      </c>
    </row>
    <row r="96" spans="1:25" x14ac:dyDescent="0.35">
      <c r="A96" s="1">
        <v>46207</v>
      </c>
      <c r="B96">
        <v>0</v>
      </c>
      <c r="C96">
        <v>0</v>
      </c>
      <c r="D96">
        <v>0</v>
      </c>
      <c r="E96">
        <v>2.5</v>
      </c>
      <c r="F96">
        <v>0</v>
      </c>
      <c r="G96">
        <v>757.6</v>
      </c>
      <c r="H96">
        <v>773.5</v>
      </c>
      <c r="I96">
        <v>-15.9</v>
      </c>
      <c r="J96">
        <v>0</v>
      </c>
      <c r="K96">
        <v>0</v>
      </c>
      <c r="L96">
        <v>4.5309999999999997</v>
      </c>
      <c r="M96">
        <v>-144.4</v>
      </c>
      <c r="N96">
        <v>-148.4</v>
      </c>
      <c r="O96">
        <v>1.4370000000000001</v>
      </c>
      <c r="P96">
        <v>4.2850000000000001</v>
      </c>
      <c r="Q96">
        <v>-140.9</v>
      </c>
      <c r="R96">
        <v>-148.19999999999999</v>
      </c>
      <c r="S96">
        <v>1.44</v>
      </c>
      <c r="T96">
        <v>7.2310256685821797</v>
      </c>
      <c r="U96">
        <v>70</v>
      </c>
      <c r="V96">
        <v>70</v>
      </c>
      <c r="W96">
        <v>17.750545103299899</v>
      </c>
      <c r="X96">
        <v>0.43674644000000001</v>
      </c>
      <c r="Y96">
        <f t="shared" si="1"/>
        <v>2.5</v>
      </c>
    </row>
    <row r="97" spans="1:25" x14ac:dyDescent="0.35">
      <c r="A97" s="1">
        <v>46208</v>
      </c>
      <c r="B97">
        <v>0</v>
      </c>
      <c r="C97">
        <v>0</v>
      </c>
      <c r="D97">
        <v>0</v>
      </c>
      <c r="E97">
        <v>2.5</v>
      </c>
      <c r="F97">
        <v>0</v>
      </c>
      <c r="G97">
        <v>755.2</v>
      </c>
      <c r="H97">
        <v>774</v>
      </c>
      <c r="I97">
        <v>-18.8</v>
      </c>
      <c r="J97">
        <v>0</v>
      </c>
      <c r="K97">
        <v>0</v>
      </c>
      <c r="L97">
        <v>4.53</v>
      </c>
      <c r="M97">
        <v>-140</v>
      </c>
      <c r="N97">
        <v>-148.19999999999999</v>
      </c>
      <c r="O97">
        <v>1.454</v>
      </c>
      <c r="P97">
        <v>4.29</v>
      </c>
      <c r="Q97">
        <v>-135.1</v>
      </c>
      <c r="R97">
        <v>-148</v>
      </c>
      <c r="S97">
        <v>1.458</v>
      </c>
      <c r="T97">
        <v>7.25452284542318</v>
      </c>
      <c r="U97">
        <v>70</v>
      </c>
      <c r="V97">
        <v>70</v>
      </c>
      <c r="W97">
        <v>17.756157582019998</v>
      </c>
      <c r="X97">
        <v>0.43688327999999998</v>
      </c>
      <c r="Y97">
        <f t="shared" si="1"/>
        <v>2.5</v>
      </c>
    </row>
    <row r="98" spans="1:25" x14ac:dyDescent="0.35">
      <c r="A98" s="1">
        <v>46209</v>
      </c>
      <c r="B98">
        <v>0</v>
      </c>
      <c r="C98">
        <v>0</v>
      </c>
      <c r="D98">
        <v>0</v>
      </c>
      <c r="E98">
        <v>2.2999999999999998</v>
      </c>
      <c r="F98">
        <v>0</v>
      </c>
      <c r="G98">
        <v>752.8</v>
      </c>
      <c r="H98">
        <v>767.9</v>
      </c>
      <c r="I98">
        <v>-15.1</v>
      </c>
      <c r="J98">
        <v>0</v>
      </c>
      <c r="K98">
        <v>0</v>
      </c>
      <c r="L98">
        <v>4.5090000000000003</v>
      </c>
      <c r="M98">
        <v>-135.1</v>
      </c>
      <c r="N98">
        <v>-148.1</v>
      </c>
      <c r="O98">
        <v>1.47</v>
      </c>
      <c r="P98">
        <v>4.258</v>
      </c>
      <c r="Q98">
        <v>-129.80000000000001</v>
      </c>
      <c r="R98">
        <v>-147.9</v>
      </c>
      <c r="S98">
        <v>1.474</v>
      </c>
      <c r="T98">
        <v>7.2763904210806096</v>
      </c>
      <c r="U98">
        <v>70</v>
      </c>
      <c r="V98">
        <v>70</v>
      </c>
      <c r="W98">
        <v>17.761465507739899</v>
      </c>
      <c r="X98">
        <v>0.43700174000000003</v>
      </c>
      <c r="Y98">
        <f t="shared" si="1"/>
        <v>2.2999999999999998</v>
      </c>
    </row>
    <row r="99" spans="1:25" x14ac:dyDescent="0.35">
      <c r="A99" s="1">
        <v>46210</v>
      </c>
      <c r="B99">
        <v>0</v>
      </c>
      <c r="C99">
        <v>0</v>
      </c>
      <c r="D99">
        <v>0</v>
      </c>
      <c r="E99">
        <v>2.2000000000000002</v>
      </c>
      <c r="F99">
        <v>0</v>
      </c>
      <c r="G99">
        <v>750.6</v>
      </c>
      <c r="H99">
        <v>765.6</v>
      </c>
      <c r="I99">
        <v>-15</v>
      </c>
      <c r="J99">
        <v>0</v>
      </c>
      <c r="K99">
        <v>0</v>
      </c>
      <c r="L99">
        <v>4.4930000000000003</v>
      </c>
      <c r="M99">
        <v>-128.69999999999999</v>
      </c>
      <c r="N99">
        <v>-148.1</v>
      </c>
      <c r="O99">
        <v>1.484</v>
      </c>
      <c r="P99">
        <v>4.2539999999999996</v>
      </c>
      <c r="Q99">
        <v>-125.5</v>
      </c>
      <c r="R99">
        <v>-147.80000000000001</v>
      </c>
      <c r="S99">
        <v>1.488</v>
      </c>
      <c r="T99">
        <v>7.2975767075293101</v>
      </c>
      <c r="U99">
        <v>70</v>
      </c>
      <c r="V99">
        <v>70</v>
      </c>
      <c r="W99">
        <v>17.766476859399901</v>
      </c>
      <c r="X99">
        <v>0.43710894</v>
      </c>
      <c r="Y99">
        <f t="shared" si="1"/>
        <v>2.2000000000000002</v>
      </c>
    </row>
    <row r="100" spans="1:25" x14ac:dyDescent="0.35">
      <c r="A100" s="1">
        <v>46211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748.6</v>
      </c>
      <c r="H100">
        <v>764.2</v>
      </c>
      <c r="I100">
        <v>-15.6</v>
      </c>
      <c r="J100">
        <v>0</v>
      </c>
      <c r="K100">
        <v>0</v>
      </c>
      <c r="L100">
        <v>4.4939999999999998</v>
      </c>
      <c r="M100">
        <v>-126.8</v>
      </c>
      <c r="N100">
        <v>-148</v>
      </c>
      <c r="O100">
        <v>1.496</v>
      </c>
      <c r="P100">
        <v>4.24</v>
      </c>
      <c r="Q100">
        <v>-123.3</v>
      </c>
      <c r="R100">
        <v>-147.80000000000001</v>
      </c>
      <c r="S100">
        <v>1.5</v>
      </c>
      <c r="T100">
        <v>7.3168691216134496</v>
      </c>
      <c r="U100">
        <v>70</v>
      </c>
      <c r="V100">
        <v>70</v>
      </c>
      <c r="W100">
        <v>17.771127551739902</v>
      </c>
      <c r="X100">
        <v>0.43720864999999998</v>
      </c>
      <c r="Y100">
        <f t="shared" si="1"/>
        <v>2</v>
      </c>
    </row>
    <row r="101" spans="1:25" x14ac:dyDescent="0.35">
      <c r="A101" s="1">
        <v>46212</v>
      </c>
      <c r="B101">
        <v>0</v>
      </c>
      <c r="C101">
        <v>2.5</v>
      </c>
      <c r="D101">
        <v>0</v>
      </c>
      <c r="E101">
        <v>2.7</v>
      </c>
      <c r="F101">
        <v>0</v>
      </c>
      <c r="G101">
        <v>743.4</v>
      </c>
      <c r="H101">
        <v>757.6</v>
      </c>
      <c r="I101">
        <v>-14.2</v>
      </c>
      <c r="J101">
        <v>0</v>
      </c>
      <c r="K101">
        <v>0</v>
      </c>
      <c r="L101">
        <v>4.43</v>
      </c>
      <c r="M101">
        <v>-133.9</v>
      </c>
      <c r="N101">
        <v>-147.5</v>
      </c>
      <c r="O101">
        <v>1.5680000000000001</v>
      </c>
      <c r="P101">
        <v>4.2409999999999997</v>
      </c>
      <c r="Q101">
        <v>-121.3</v>
      </c>
      <c r="R101">
        <v>-147.30000000000001</v>
      </c>
      <c r="S101">
        <v>1.571</v>
      </c>
      <c r="T101">
        <v>7.3435923761519399</v>
      </c>
      <c r="U101">
        <v>70</v>
      </c>
      <c r="V101">
        <v>70</v>
      </c>
      <c r="W101">
        <v>17.777323099179998</v>
      </c>
      <c r="X101">
        <v>0.43739158</v>
      </c>
      <c r="Y101">
        <f t="shared" si="1"/>
        <v>5.2</v>
      </c>
    </row>
    <row r="102" spans="1:25" x14ac:dyDescent="0.35">
      <c r="A102" s="1">
        <v>46213</v>
      </c>
      <c r="B102">
        <v>0</v>
      </c>
      <c r="C102">
        <v>21.5</v>
      </c>
      <c r="D102">
        <v>0</v>
      </c>
      <c r="E102">
        <v>2</v>
      </c>
      <c r="F102">
        <v>0</v>
      </c>
      <c r="G102">
        <v>720</v>
      </c>
      <c r="H102">
        <v>731.8</v>
      </c>
      <c r="I102">
        <v>-11.8</v>
      </c>
      <c r="J102">
        <v>0</v>
      </c>
      <c r="K102">
        <v>0</v>
      </c>
      <c r="L102">
        <v>4.2210000000000001</v>
      </c>
      <c r="M102">
        <v>-132.9</v>
      </c>
      <c r="N102">
        <v>-147.1</v>
      </c>
      <c r="O102">
        <v>1.639</v>
      </c>
      <c r="P102">
        <v>4.2210000000000001</v>
      </c>
      <c r="Q102">
        <v>-122.2</v>
      </c>
      <c r="R102">
        <v>-146.9</v>
      </c>
      <c r="S102">
        <v>1.6419999999999999</v>
      </c>
      <c r="T102">
        <v>7.3640703926582303</v>
      </c>
      <c r="U102">
        <v>70</v>
      </c>
      <c r="V102">
        <v>70</v>
      </c>
      <c r="W102">
        <v>17.782196200920001</v>
      </c>
      <c r="X102">
        <v>0.43753555999999999</v>
      </c>
      <c r="Y102">
        <f t="shared" si="1"/>
        <v>23.5</v>
      </c>
    </row>
    <row r="103" spans="1:25" x14ac:dyDescent="0.35">
      <c r="A103" s="1">
        <v>46214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718</v>
      </c>
      <c r="H103">
        <v>728.6</v>
      </c>
      <c r="I103">
        <v>-10.6</v>
      </c>
      <c r="J103">
        <v>0</v>
      </c>
      <c r="K103">
        <v>0</v>
      </c>
      <c r="L103">
        <v>4.202</v>
      </c>
      <c r="M103">
        <v>-134.5</v>
      </c>
      <c r="N103">
        <v>-147</v>
      </c>
      <c r="O103">
        <v>1.645</v>
      </c>
      <c r="P103">
        <v>4.2080000000000002</v>
      </c>
      <c r="Q103">
        <v>-130.6</v>
      </c>
      <c r="R103">
        <v>-146.80000000000001</v>
      </c>
      <c r="S103">
        <v>1.649</v>
      </c>
      <c r="T103">
        <v>7.3843090128506796</v>
      </c>
      <c r="U103">
        <v>70</v>
      </c>
      <c r="V103">
        <v>70</v>
      </c>
      <c r="W103">
        <v>17.7870412494999</v>
      </c>
      <c r="X103">
        <v>0.43764467000000001</v>
      </c>
      <c r="Y103">
        <f t="shared" si="1"/>
        <v>2</v>
      </c>
    </row>
    <row r="104" spans="1:25" x14ac:dyDescent="0.35">
      <c r="A104" s="1">
        <v>46215</v>
      </c>
      <c r="B104">
        <v>0</v>
      </c>
      <c r="C104">
        <v>0</v>
      </c>
      <c r="D104">
        <v>0</v>
      </c>
      <c r="E104">
        <v>2</v>
      </c>
      <c r="F104">
        <v>0</v>
      </c>
      <c r="G104">
        <v>716</v>
      </c>
      <c r="H104">
        <v>726.1</v>
      </c>
      <c r="I104">
        <v>-10.1</v>
      </c>
      <c r="J104">
        <v>0</v>
      </c>
      <c r="K104">
        <v>0</v>
      </c>
      <c r="L104">
        <v>4.1890000000000001</v>
      </c>
      <c r="M104">
        <v>-135.1</v>
      </c>
      <c r="N104">
        <v>-146.9</v>
      </c>
      <c r="O104">
        <v>1.6379999999999999</v>
      </c>
      <c r="P104">
        <v>4.1980000000000004</v>
      </c>
      <c r="Q104">
        <v>-132.9</v>
      </c>
      <c r="R104">
        <v>-146.69999999999999</v>
      </c>
      <c r="S104">
        <v>1.6379999999999999</v>
      </c>
      <c r="T104">
        <v>7.40481679729211</v>
      </c>
      <c r="U104">
        <v>70</v>
      </c>
      <c r="V104">
        <v>70</v>
      </c>
      <c r="W104">
        <v>17.791856229039901</v>
      </c>
      <c r="X104">
        <v>0.43775345999999998</v>
      </c>
      <c r="Y104">
        <f t="shared" si="1"/>
        <v>2</v>
      </c>
    </row>
    <row r="105" spans="1:25" x14ac:dyDescent="0.35">
      <c r="A105" s="1">
        <v>46216</v>
      </c>
      <c r="B105">
        <v>0</v>
      </c>
      <c r="C105">
        <v>0</v>
      </c>
      <c r="D105">
        <v>0</v>
      </c>
      <c r="E105">
        <v>1.9</v>
      </c>
      <c r="F105">
        <v>0.6</v>
      </c>
      <c r="G105">
        <v>713.4</v>
      </c>
      <c r="H105">
        <v>736</v>
      </c>
      <c r="I105">
        <v>-22.6</v>
      </c>
      <c r="J105">
        <v>0</v>
      </c>
      <c r="K105">
        <v>0</v>
      </c>
      <c r="L105">
        <v>4.2359999999999998</v>
      </c>
      <c r="M105">
        <v>-130.1</v>
      </c>
      <c r="N105">
        <v>-147.1</v>
      </c>
      <c r="O105">
        <v>1.613</v>
      </c>
      <c r="P105">
        <v>4.2380000000000004</v>
      </c>
      <c r="Q105">
        <v>-129</v>
      </c>
      <c r="R105">
        <v>-146.9</v>
      </c>
      <c r="S105">
        <v>1.6160000000000001</v>
      </c>
      <c r="T105">
        <v>7.4306369192619401</v>
      </c>
      <c r="U105">
        <v>70</v>
      </c>
      <c r="V105">
        <v>70</v>
      </c>
      <c r="W105">
        <v>17.798013728499999</v>
      </c>
      <c r="X105">
        <v>0.43785505000000002</v>
      </c>
      <c r="Y105">
        <f t="shared" si="1"/>
        <v>2.5</v>
      </c>
    </row>
    <row r="106" spans="1:25" x14ac:dyDescent="0.35">
      <c r="A106" s="1">
        <v>46217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711.4</v>
      </c>
      <c r="H106">
        <v>719</v>
      </c>
      <c r="I106">
        <v>-7.6</v>
      </c>
      <c r="J106">
        <v>0</v>
      </c>
      <c r="K106">
        <v>0</v>
      </c>
      <c r="L106">
        <v>4.1619999999999999</v>
      </c>
      <c r="M106">
        <v>-126.6</v>
      </c>
      <c r="N106">
        <v>-147.30000000000001</v>
      </c>
      <c r="O106">
        <v>1.581</v>
      </c>
      <c r="P106">
        <v>4.165</v>
      </c>
      <c r="Q106">
        <v>-125.9</v>
      </c>
      <c r="R106">
        <v>-147</v>
      </c>
      <c r="S106">
        <v>1.5860000000000001</v>
      </c>
      <c r="T106">
        <v>7.4511570518708901</v>
      </c>
      <c r="U106">
        <v>70</v>
      </c>
      <c r="V106">
        <v>70</v>
      </c>
      <c r="W106">
        <v>17.802956963139899</v>
      </c>
      <c r="X106">
        <v>0.43793787000000001</v>
      </c>
      <c r="Y106">
        <f t="shared" si="1"/>
        <v>2</v>
      </c>
    </row>
  </sheetData>
  <pageMargins left="0.7" right="0.7" top="0.75" bottom="0.75" header="0.3" footer="0.3"/>
  <ignoredErrors>
    <ignoredError sqref="Y2:Y10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3A0C-BDFB-42FE-9F8D-6F9D62A598A0}">
  <sheetPr>
    <tabColor rgb="FF00B0F0"/>
  </sheetPr>
  <dimension ref="M1:AL21"/>
  <sheetViews>
    <sheetView workbookViewId="0">
      <selection activeCell="J24" sqref="J24"/>
    </sheetView>
  </sheetViews>
  <sheetFormatPr defaultRowHeight="14.5" x14ac:dyDescent="0.35"/>
  <cols>
    <col min="14" max="14" width="11.6328125" customWidth="1"/>
  </cols>
  <sheetData>
    <row r="1" spans="13:38" x14ac:dyDescent="0.35">
      <c r="M1" s="2">
        <v>0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</row>
    <row r="2" spans="13:38" x14ac:dyDescent="0.35">
      <c r="M2" s="2"/>
      <c r="N2" s="3" cm="1">
        <f t="array" ref="N2">INDEX(pearl!A:A,$M$1+ROW(A2))</f>
        <v>46113</v>
      </c>
      <c r="O2" s="2" cm="1">
        <f t="array" ref="O2">INDEX(pearl!B:B,$M$1+ROW(B2))</f>
        <v>0</v>
      </c>
      <c r="P2" s="2" cm="1">
        <f t="array" ref="P2">INDEX(pearl!C:C,$M$1+ROW(C2))</f>
        <v>0</v>
      </c>
      <c r="Q2" s="2" cm="1">
        <f t="array" ref="Q2">INDEX(pearl!D:D,$M$1+ROW(D2))</f>
        <v>0</v>
      </c>
      <c r="R2" s="2" cm="1">
        <f t="array" ref="R2">INDEX(pearl!E:E,$M$1+ROW(E2))</f>
        <v>5.3</v>
      </c>
      <c r="S2" s="2" cm="1">
        <f t="array" ref="S2">INDEX(pearl!F:F,$M$1+ROW(F2))</f>
        <v>8.1999999999999993</v>
      </c>
      <c r="T2" s="2" cm="1">
        <f t="array" ref="T2">INDEX(pearl!G:G,$M$1+ROW(G2))</f>
        <v>1424</v>
      </c>
      <c r="U2" s="2" cm="1">
        <f t="array" ref="U2">INDEX(pearl!H:H,$M$1+ROW(H2))</f>
        <v>1424</v>
      </c>
      <c r="V2" s="2" cm="1">
        <f t="array" ref="V2">INDEX(pearl!I:I,$M$1+ROW(I2))</f>
        <v>0</v>
      </c>
      <c r="W2" s="2" cm="1">
        <f t="array" ref="W2">INDEX(pearl!J:J,$M$1+ROW(J2))</f>
        <v>-1</v>
      </c>
      <c r="X2" s="2" cm="1">
        <f t="array" ref="X2">INDEX(pearl!K:K,$M$1+ROW(K2))</f>
        <v>0</v>
      </c>
      <c r="Y2" s="2" cm="1">
        <f t="array" ref="Y2">INDEX(pearl!L:L,$M$1+ROW(L2))</f>
        <v>7.39</v>
      </c>
      <c r="Z2" s="2" cm="1">
        <f t="array" ref="Z2">INDEX(pearl!M:M,$M$1+ROW(M2))</f>
        <v>-153.19999999999999</v>
      </c>
      <c r="AA2" s="2" cm="1">
        <f t="array" ref="AA2">INDEX(pearl!N:N,$M$1+ROW(N2))</f>
        <v>-156.19999999999999</v>
      </c>
      <c r="AB2" s="2" cm="1">
        <f t="array" ref="AB2">INDEX(pearl!O:O,$M$1+ROW(O2))</f>
        <v>0.52</v>
      </c>
      <c r="AC2" s="2" cm="1">
        <f t="array" ref="AC2">INDEX(pearl!P:P,$M$1+ROW(P2))</f>
        <v>7.38</v>
      </c>
      <c r="AD2" s="2" cm="1">
        <f t="array" ref="AD2">INDEX(pearl!Q:Q,$M$1+ROW(Q2))</f>
        <v>-153.4</v>
      </c>
      <c r="AE2" s="2" cm="1">
        <f t="array" ref="AE2">INDEX(pearl!R:R,$M$1+ROW(R2))</f>
        <v>-155.6</v>
      </c>
      <c r="AF2" s="2" cm="1">
        <f t="array" ref="AF2">INDEX(pearl!S:S,$M$1+ROW(S2))</f>
        <v>0.52</v>
      </c>
      <c r="AG2" s="2" cm="1">
        <f t="array" ref="AG2">INDEX(pearl!T:T,$M$1+ROW(T2))</f>
        <v>4.5510000000000002</v>
      </c>
      <c r="AH2" s="2" cm="1">
        <f t="array" ref="AH2">INDEX(pearl!U:U,$M$1+ROW(U2))</f>
        <v>76</v>
      </c>
      <c r="AI2" s="2" cm="1">
        <f t="array" ref="AI2">INDEX(pearl!V:V,$M$1+ROW(V2))</f>
        <v>70</v>
      </c>
      <c r="AJ2" s="2" cm="1">
        <f t="array" ref="AJ2">INDEX(pearl!W:W,$M$1+ROW(W2))</f>
        <v>17.12</v>
      </c>
      <c r="AK2" s="2" cm="1">
        <f t="array" ref="AK2">INDEX(pearl!X:X,$M$1+ROW(X2))</f>
        <v>0.42459266699999998</v>
      </c>
      <c r="AL2" s="2" cm="1">
        <f t="array" ref="AL2">INDEX(pearl!Y:Y,$M$1+ROW(Y2))</f>
        <v>13.5</v>
      </c>
    </row>
    <row r="3" spans="13:38" x14ac:dyDescent="0.35">
      <c r="M3" s="2"/>
      <c r="N3" s="3" cm="1">
        <f t="array" ref="N3">INDEX(pearl!A:A,$M$1+ROW(A3))</f>
        <v>46114</v>
      </c>
      <c r="O3" s="2" cm="1">
        <f t="array" ref="O3">INDEX(pearl!B:B,$M$1+ROW(B3))</f>
        <v>0</v>
      </c>
      <c r="P3" s="2" cm="1">
        <f t="array" ref="P3">INDEX(pearl!C:C,$M$1+ROW(C3))</f>
        <v>0</v>
      </c>
      <c r="Q3" s="2" cm="1">
        <f t="array" ref="Q3">INDEX(pearl!D:D,$M$1+ROW(D3))</f>
        <v>0</v>
      </c>
      <c r="R3" s="2" cm="1">
        <f t="array" ref="R3">INDEX(pearl!E:E,$M$1+ROW(E3))</f>
        <v>4.3</v>
      </c>
      <c r="S3" s="2" cm="1">
        <f t="array" ref="S3">INDEX(pearl!F:F,$M$1+ROW(F3))</f>
        <v>5.6</v>
      </c>
      <c r="T3" s="2" cm="1">
        <f t="array" ref="T3">INDEX(pearl!G:G,$M$1+ROW(G3))</f>
        <v>1414.1</v>
      </c>
      <c r="U3" s="2" cm="1">
        <f t="array" ref="U3">INDEX(pearl!H:H,$M$1+ROW(H3))</f>
        <v>1388.5</v>
      </c>
      <c r="V3" s="2" cm="1">
        <f t="array" ref="V3">INDEX(pearl!I:I,$M$1+ROW(I3))</f>
        <v>25.6</v>
      </c>
      <c r="W3" s="2" cm="1">
        <f t="array" ref="W3">INDEX(pearl!J:J,$M$1+ROW(J3))</f>
        <v>-1</v>
      </c>
      <c r="X3" s="2" cm="1">
        <f t="array" ref="X3">INDEX(pearl!K:K,$M$1+ROW(K3))</f>
        <v>0</v>
      </c>
      <c r="Y3" s="2" cm="1">
        <f t="array" ref="Y3">INDEX(pearl!L:L,$M$1+ROW(L3))</f>
        <v>7.39</v>
      </c>
      <c r="Z3" s="2" cm="1">
        <f t="array" ref="Z3">INDEX(pearl!M:M,$M$1+ROW(M3))</f>
        <v>-153.19999999999999</v>
      </c>
      <c r="AA3" s="2" cm="1">
        <f t="array" ref="AA3">INDEX(pearl!N:N,$M$1+ROW(N3))</f>
        <v>-156.19999999999999</v>
      </c>
      <c r="AB3" s="2" cm="1">
        <f t="array" ref="AB3">INDEX(pearl!O:O,$M$1+ROW(O3))</f>
        <v>0.52</v>
      </c>
      <c r="AC3" s="2" cm="1">
        <f t="array" ref="AC3">INDEX(pearl!P:P,$M$1+ROW(P3))</f>
        <v>7.38</v>
      </c>
      <c r="AD3" s="2" cm="1">
        <f t="array" ref="AD3">INDEX(pearl!Q:Q,$M$1+ROW(Q3))</f>
        <v>-153.4</v>
      </c>
      <c r="AE3" s="2" cm="1">
        <f t="array" ref="AE3">INDEX(pearl!R:R,$M$1+ROW(R3))</f>
        <v>-155.6</v>
      </c>
      <c r="AF3" s="2" cm="1">
        <f t="array" ref="AF3">INDEX(pearl!S:S,$M$1+ROW(S3))</f>
        <v>0.52</v>
      </c>
      <c r="AG3" s="2" cm="1">
        <f t="array" ref="AG3">INDEX(pearl!T:T,$M$1+ROW(T3))</f>
        <v>4.5831323872634</v>
      </c>
      <c r="AH3" s="2" cm="1">
        <f t="array" ref="AH3">INDEX(pearl!U:U,$M$1+ROW(U3))</f>
        <v>76</v>
      </c>
      <c r="AI3" s="2" cm="1">
        <f t="array" ref="AI3">INDEX(pearl!V:V,$M$1+ROW(V3))</f>
        <v>70</v>
      </c>
      <c r="AJ3" s="2" cm="1">
        <f t="array" ref="AJ3">INDEX(pearl!W:W,$M$1+ROW(W3))</f>
        <v>17.127545938799901</v>
      </c>
      <c r="AK3" s="2" cm="1">
        <f t="array" ref="AK3">INDEX(pearl!X:X,$M$1+ROW(X3))</f>
        <v>0.43543389999999998</v>
      </c>
      <c r="AL3" s="2" cm="1">
        <f t="array" ref="AL3">INDEX(pearl!Y:Y,$M$1+ROW(Y3))</f>
        <v>9.8999999999999986</v>
      </c>
    </row>
    <row r="4" spans="13:38" x14ac:dyDescent="0.35">
      <c r="M4" s="2"/>
      <c r="N4" s="3" cm="1">
        <f t="array" ref="N4">INDEX(pearl!A:A,$M$1+ROW(A4))</f>
        <v>46115</v>
      </c>
      <c r="O4" s="2" cm="1">
        <f t="array" ref="O4">INDEX(pearl!B:B,$M$1+ROW(B4))</f>
        <v>0</v>
      </c>
      <c r="P4" s="2" cm="1">
        <f t="array" ref="P4">INDEX(pearl!C:C,$M$1+ROW(C4))</f>
        <v>0</v>
      </c>
      <c r="Q4" s="2" cm="1">
        <f t="array" ref="Q4">INDEX(pearl!D:D,$M$1+ROW(D4))</f>
        <v>0</v>
      </c>
      <c r="R4" s="2" cm="1">
        <f t="array" ref="R4">INDEX(pearl!E:E,$M$1+ROW(E4))</f>
        <v>4.3</v>
      </c>
      <c r="S4" s="2" cm="1">
        <f t="array" ref="S4">INDEX(pearl!F:F,$M$1+ROW(F4))</f>
        <v>0.9</v>
      </c>
      <c r="T4" s="2" cm="1">
        <f t="array" ref="T4">INDEX(pearl!G:G,$M$1+ROW(G4))</f>
        <v>1408.9</v>
      </c>
      <c r="U4" s="2" cm="1">
        <f t="array" ref="U4">INDEX(pearl!H:H,$M$1+ROW(H4))</f>
        <v>1380.3</v>
      </c>
      <c r="V4" s="2" cm="1">
        <f t="array" ref="V4">INDEX(pearl!I:I,$M$1+ROW(I4))</f>
        <v>28.6</v>
      </c>
      <c r="W4" s="2" cm="1">
        <f t="array" ref="W4">INDEX(pearl!J:J,$M$1+ROW(J4))</f>
        <v>-1</v>
      </c>
      <c r="X4" s="2" cm="1">
        <f t="array" ref="X4">INDEX(pearl!K:K,$M$1+ROW(K4))</f>
        <v>0</v>
      </c>
      <c r="Y4" s="2" cm="1">
        <f t="array" ref="Y4">INDEX(pearl!L:L,$M$1+ROW(L4))</f>
        <v>7.38</v>
      </c>
      <c r="Z4" s="2" cm="1">
        <f t="array" ref="Z4">INDEX(pearl!M:M,$M$1+ROW(M4))</f>
        <v>-150.69999999999999</v>
      </c>
      <c r="AA4" s="2" cm="1">
        <f t="array" ref="AA4">INDEX(pearl!N:N,$M$1+ROW(N4))</f>
        <v>-155.80000000000001</v>
      </c>
      <c r="AB4" s="2" cm="1">
        <f t="array" ref="AB4">INDEX(pearl!O:O,$M$1+ROW(O4))</f>
        <v>0.88</v>
      </c>
      <c r="AC4" s="2" cm="1">
        <f t="array" ref="AC4">INDEX(pearl!P:P,$M$1+ROW(P4))</f>
        <v>7.32</v>
      </c>
      <c r="AD4" s="2" cm="1">
        <f t="array" ref="AD4">INDEX(pearl!Q:Q,$M$1+ROW(Q4))</f>
        <v>-149.9</v>
      </c>
      <c r="AE4" s="2" cm="1">
        <f t="array" ref="AE4">INDEX(pearl!R:R,$M$1+ROW(R4))</f>
        <v>-155.1</v>
      </c>
      <c r="AF4" s="2" cm="1">
        <f t="array" ref="AF4">INDEX(pearl!S:S,$M$1+ROW(S4))</f>
        <v>0.88</v>
      </c>
      <c r="AG4" s="2" cm="1">
        <f t="array" ref="AG4">INDEX(pearl!T:T,$M$1+ROW(T4))</f>
        <v>4.6004611964378297</v>
      </c>
      <c r="AH4" s="2" cm="1">
        <f t="array" ref="AH4">INDEX(pearl!U:U,$M$1+ROW(U4))</f>
        <v>76</v>
      </c>
      <c r="AI4" s="2" cm="1">
        <f t="array" ref="AI4">INDEX(pearl!V:V,$M$1+ROW(V4))</f>
        <v>70</v>
      </c>
      <c r="AJ4" s="2" cm="1">
        <f t="array" ref="AJ4">INDEX(pearl!W:W,$M$1+ROW(W4))</f>
        <v>17.131523355299901</v>
      </c>
      <c r="AK4" s="2" cm="1">
        <f t="array" ref="AK4">INDEX(pearl!X:X,$M$1+ROW(X4))</f>
        <v>0.43459957999999999</v>
      </c>
      <c r="AL4" s="2" cm="1">
        <f t="array" ref="AL4">INDEX(pearl!Y:Y,$M$1+ROW(Y4))</f>
        <v>5.2</v>
      </c>
    </row>
    <row r="5" spans="13:38" x14ac:dyDescent="0.35">
      <c r="M5" s="2"/>
      <c r="N5" s="3" cm="1">
        <f t="array" ref="N5">INDEX(pearl!A:A,$M$1+ROW(A5))</f>
        <v>46116</v>
      </c>
      <c r="O5" s="2" cm="1">
        <f t="array" ref="O5">INDEX(pearl!B:B,$M$1+ROW(B5))</f>
        <v>0</v>
      </c>
      <c r="P5" s="2" cm="1">
        <f t="array" ref="P5">INDEX(pearl!C:C,$M$1+ROW(C5))</f>
        <v>0</v>
      </c>
      <c r="Q5" s="2" cm="1">
        <f t="array" ref="Q5">INDEX(pearl!D:D,$M$1+ROW(D5))</f>
        <v>0</v>
      </c>
      <c r="R5" s="2" cm="1">
        <f t="array" ref="R5">INDEX(pearl!E:E,$M$1+ROW(E5))</f>
        <v>5.2</v>
      </c>
      <c r="S5" s="2" cm="1">
        <f t="array" ref="S5">INDEX(pearl!F:F,$M$1+ROW(F5))</f>
        <v>1.2</v>
      </c>
      <c r="T5" s="2" cm="1">
        <f t="array" ref="T5">INDEX(pearl!G:G,$M$1+ROW(G5))</f>
        <v>1402.5</v>
      </c>
      <c r="U5" s="2" cm="1">
        <f t="array" ref="U5">INDEX(pearl!H:H,$M$1+ROW(H5))</f>
        <v>1353.5</v>
      </c>
      <c r="V5" s="2" cm="1">
        <f t="array" ref="V5">INDEX(pearl!I:I,$M$1+ROW(I5))</f>
        <v>49</v>
      </c>
      <c r="W5" s="2" cm="1">
        <f t="array" ref="W5">INDEX(pearl!J:J,$M$1+ROW(J5))</f>
        <v>-1</v>
      </c>
      <c r="X5" s="2" cm="1">
        <f t="array" ref="X5">INDEX(pearl!K:K,$M$1+ROW(K5))</f>
        <v>0</v>
      </c>
      <c r="Y5" s="2" cm="1">
        <f t="array" ref="Y5">INDEX(pearl!L:L,$M$1+ROW(L5))</f>
        <v>7.2910000000000004</v>
      </c>
      <c r="Z5" s="2" cm="1">
        <f t="array" ref="Z5">INDEX(pearl!M:M,$M$1+ROW(M5))</f>
        <v>-145.69999999999999</v>
      </c>
      <c r="AA5" s="2" cm="1">
        <f t="array" ref="AA5">INDEX(pearl!N:N,$M$1+ROW(N5))</f>
        <v>-155.4</v>
      </c>
      <c r="AB5" s="2" cm="1">
        <f t="array" ref="AB5">INDEX(pearl!O:O,$M$1+ROW(O5))</f>
        <v>1.01</v>
      </c>
      <c r="AC5" s="2" cm="1">
        <f t="array" ref="AC5">INDEX(pearl!P:P,$M$1+ROW(P5))</f>
        <v>7.133</v>
      </c>
      <c r="AD5" s="2" cm="1">
        <f t="array" ref="AD5">INDEX(pearl!Q:Q,$M$1+ROW(Q5))</f>
        <v>-144.9</v>
      </c>
      <c r="AE5" s="2" cm="1">
        <f t="array" ref="AE5">INDEX(pearl!R:R,$M$1+ROW(R5))</f>
        <v>-154.4</v>
      </c>
      <c r="AF5" s="2" cm="1">
        <f t="array" ref="AF5">INDEX(pearl!S:S,$M$1+ROW(S5))</f>
        <v>1.01</v>
      </c>
      <c r="AG5" s="2" cm="1">
        <f t="array" ref="AG5">INDEX(pearl!T:T,$M$1+ROW(T5))</f>
        <v>4.62137712185433</v>
      </c>
      <c r="AH5" s="2" cm="1">
        <f t="array" ref="AH5">INDEX(pearl!U:U,$M$1+ROW(U5))</f>
        <v>76</v>
      </c>
      <c r="AI5" s="2" cm="1">
        <f t="array" ref="AI5">INDEX(pearl!V:V,$M$1+ROW(V5))</f>
        <v>70</v>
      </c>
      <c r="AJ5" s="2" cm="1">
        <f t="array" ref="AJ5">INDEX(pearl!W:W,$M$1+ROW(W5))</f>
        <v>17.136480616519901</v>
      </c>
      <c r="AK5" s="2" cm="1">
        <f t="array" ref="AK5">INDEX(pearl!X:X,$M$1+ROW(X5))</f>
        <v>0.43362689999999998</v>
      </c>
      <c r="AL5" s="2" cm="1">
        <f t="array" ref="AL5">INDEX(pearl!Y:Y,$M$1+ROW(Y5))</f>
        <v>6.4</v>
      </c>
    </row>
    <row r="6" spans="13:38" x14ac:dyDescent="0.35">
      <c r="M6" s="2"/>
      <c r="N6" s="3" cm="1">
        <f t="array" ref="N6">INDEX(pearl!A:A,$M$1+ROW(A6))</f>
        <v>46117</v>
      </c>
      <c r="O6" s="2" cm="1">
        <f t="array" ref="O6">INDEX(pearl!B:B,$M$1+ROW(B6))</f>
        <v>0</v>
      </c>
      <c r="P6" s="2" cm="1">
        <f t="array" ref="P6">INDEX(pearl!C:C,$M$1+ROW(C6))</f>
        <v>0</v>
      </c>
      <c r="Q6" s="2" cm="1">
        <f t="array" ref="Q6">INDEX(pearl!D:D,$M$1+ROW(D6))</f>
        <v>0</v>
      </c>
      <c r="R6" s="2" cm="1">
        <f t="array" ref="R6">INDEX(pearl!E:E,$M$1+ROW(E6))</f>
        <v>4.5</v>
      </c>
      <c r="S6" s="2" cm="1">
        <f t="array" ref="S6">INDEX(pearl!F:F,$M$1+ROW(F6))</f>
        <v>1.1000000000000001</v>
      </c>
      <c r="T6" s="2" cm="1">
        <f t="array" ref="T6">INDEX(pearl!G:G,$M$1+ROW(G6))</f>
        <v>1396.9</v>
      </c>
      <c r="U6" s="2" cm="1">
        <f t="array" ref="U6">INDEX(pearl!H:H,$M$1+ROW(H6))</f>
        <v>1351.5</v>
      </c>
      <c r="V6" s="2" cm="1">
        <f t="array" ref="V6">INDEX(pearl!I:I,$M$1+ROW(I6))</f>
        <v>45.4</v>
      </c>
      <c r="W6" s="2" cm="1">
        <f t="array" ref="W6">INDEX(pearl!J:J,$M$1+ROW(J6))</f>
        <v>-1</v>
      </c>
      <c r="X6" s="2" cm="1">
        <f t="array" ref="X6">INDEX(pearl!K:K,$M$1+ROW(K6))</f>
        <v>0</v>
      </c>
      <c r="Y6" s="2" cm="1">
        <f t="array" ref="Y6">INDEX(pearl!L:L,$M$1+ROW(L6))</f>
        <v>7.2990000000000004</v>
      </c>
      <c r="Z6" s="2" cm="1">
        <f t="array" ref="Z6">INDEX(pearl!M:M,$M$1+ROW(M6))</f>
        <v>-143.9</v>
      </c>
      <c r="AA6" s="2" cm="1">
        <f t="array" ref="AA6">INDEX(pearl!N:N,$M$1+ROW(N6))</f>
        <v>-155</v>
      </c>
      <c r="AB6" s="2" cm="1">
        <f t="array" ref="AB6">INDEX(pearl!O:O,$M$1+ROW(O6))</f>
        <v>0.84</v>
      </c>
      <c r="AC6" s="2" cm="1">
        <f t="array" ref="AC6">INDEX(pearl!P:P,$M$1+ROW(P6))</f>
        <v>7.14</v>
      </c>
      <c r="AD6" s="2" cm="1">
        <f t="array" ref="AD6">INDEX(pearl!Q:Q,$M$1+ROW(Q6))</f>
        <v>-144.30000000000001</v>
      </c>
      <c r="AE6" s="2" cm="1">
        <f t="array" ref="AE6">INDEX(pearl!R:R,$M$1+ROW(R6))</f>
        <v>-153.69999999999999</v>
      </c>
      <c r="AF6" s="2" cm="1">
        <f t="array" ref="AF6">INDEX(pearl!S:S,$M$1+ROW(S6))</f>
        <v>0.84</v>
      </c>
      <c r="AG6" s="2" cm="1">
        <f t="array" ref="AG6">INDEX(pearl!T:T,$M$1+ROW(T6))</f>
        <v>4.6400655751442397</v>
      </c>
      <c r="AH6" s="2" cm="1">
        <f t="array" ref="AH6">INDEX(pearl!U:U,$M$1+ROW(U6))</f>
        <v>76</v>
      </c>
      <c r="AI6" s="2" cm="1">
        <f t="array" ref="AI6">INDEX(pearl!V:V,$M$1+ROW(V6))</f>
        <v>70</v>
      </c>
      <c r="AJ6" s="2" cm="1">
        <f t="array" ref="AJ6">INDEX(pearl!W:W,$M$1+ROW(W6))</f>
        <v>17.140979032359901</v>
      </c>
      <c r="AK6" s="2" cm="1">
        <f t="array" ref="AK6">INDEX(pearl!X:X,$M$1+ROW(X6))</f>
        <v>0.43262161999999998</v>
      </c>
      <c r="AL6" s="2" cm="1">
        <f t="array" ref="AL6">INDEX(pearl!Y:Y,$M$1+ROW(Y6))</f>
        <v>5.6</v>
      </c>
    </row>
    <row r="7" spans="13:38" x14ac:dyDescent="0.35">
      <c r="M7" s="2"/>
      <c r="N7" s="3" cm="1">
        <f t="array" ref="N7">INDEX(pearl!A:A,$M$1+ROW(A7))</f>
        <v>46118</v>
      </c>
      <c r="O7" s="2" cm="1">
        <f t="array" ref="O7">INDEX(pearl!B:B,$M$1+ROW(B7))</f>
        <v>0</v>
      </c>
      <c r="P7" s="2" cm="1">
        <f t="array" ref="P7">INDEX(pearl!C:C,$M$1+ROW(C7))</f>
        <v>0</v>
      </c>
      <c r="Q7" s="2" cm="1">
        <f t="array" ref="Q7">INDEX(pearl!D:D,$M$1+ROW(D7))</f>
        <v>0</v>
      </c>
      <c r="R7" s="2" cm="1">
        <f t="array" ref="R7">INDEX(pearl!E:E,$M$1+ROW(E7))</f>
        <v>4</v>
      </c>
      <c r="S7" s="2" cm="1">
        <f t="array" ref="S7">INDEX(pearl!F:F,$M$1+ROW(F7))</f>
        <v>1.2</v>
      </c>
      <c r="T7" s="2" cm="1">
        <f t="array" ref="T7">INDEX(pearl!G:G,$M$1+ROW(G7))</f>
        <v>1391.7</v>
      </c>
      <c r="U7" s="2" cm="1">
        <f t="array" ref="U7">INDEX(pearl!H:H,$M$1+ROW(H7))</f>
        <v>1346.7</v>
      </c>
      <c r="V7" s="2" cm="1">
        <f t="array" ref="V7">INDEX(pearl!I:I,$M$1+ROW(I7))</f>
        <v>45</v>
      </c>
      <c r="W7" s="2" cm="1">
        <f t="array" ref="W7">INDEX(pearl!J:J,$M$1+ROW(J7))</f>
        <v>-1</v>
      </c>
      <c r="X7" s="2" cm="1">
        <f t="array" ref="X7">INDEX(pearl!K:K,$M$1+ROW(K7))</f>
        <v>0</v>
      </c>
      <c r="Y7" s="2" cm="1">
        <f t="array" ref="Y7">INDEX(pearl!L:L,$M$1+ROW(L7))</f>
        <v>7.298</v>
      </c>
      <c r="Z7" s="2" cm="1">
        <f t="array" ref="Z7">INDEX(pearl!M:M,$M$1+ROW(M7))</f>
        <v>-149.6</v>
      </c>
      <c r="AA7" s="2" cm="1">
        <f t="array" ref="AA7">INDEX(pearl!N:N,$M$1+ROW(N7))</f>
        <v>-154.6</v>
      </c>
      <c r="AB7" s="2" cm="1">
        <f t="array" ref="AB7">INDEX(pearl!O:O,$M$1+ROW(O7))</f>
        <v>0.71</v>
      </c>
      <c r="AC7" s="2" cm="1">
        <f t="array" ref="AC7">INDEX(pearl!P:P,$M$1+ROW(P7))</f>
        <v>7.0919999999999996</v>
      </c>
      <c r="AD7" s="2" cm="1">
        <f t="array" ref="AD7">INDEX(pearl!Q:Q,$M$1+ROW(Q7))</f>
        <v>-148.9</v>
      </c>
      <c r="AE7" s="2" cm="1">
        <f t="array" ref="AE7">INDEX(pearl!R:R,$M$1+ROW(R7))</f>
        <v>-153.9</v>
      </c>
      <c r="AF7" s="2" cm="1">
        <f t="array" ref="AF7">INDEX(pearl!S:S,$M$1+ROW(S7))</f>
        <v>0.72</v>
      </c>
      <c r="AG7" s="2" cm="1">
        <f t="array" ref="AG7">INDEX(pearl!T:T,$M$1+ROW(T7))</f>
        <v>4.6576218930801101</v>
      </c>
      <c r="AH7" s="2" cm="1">
        <f t="array" ref="AH7">INDEX(pearl!U:U,$M$1+ROW(U7))</f>
        <v>76</v>
      </c>
      <c r="AI7" s="2" cm="1">
        <f t="array" ref="AI7">INDEX(pearl!V:V,$M$1+ROW(V7))</f>
        <v>70</v>
      </c>
      <c r="AJ7" s="2" cm="1">
        <f t="array" ref="AJ7">INDEX(pearl!W:W,$M$1+ROW(W7))</f>
        <v>17.14504060834</v>
      </c>
      <c r="AK7" s="2" cm="1">
        <f t="array" ref="AK7">INDEX(pearl!X:X,$M$1+ROW(X7))</f>
        <v>0.43252133999999998</v>
      </c>
      <c r="AL7" s="2" cm="1">
        <f t="array" ref="AL7">INDEX(pearl!Y:Y,$M$1+ROW(Y7))</f>
        <v>5.2</v>
      </c>
    </row>
    <row r="8" spans="13:38" x14ac:dyDescent="0.35">
      <c r="M8" s="2"/>
      <c r="N8" s="3" cm="1">
        <f t="array" ref="N8">INDEX(pearl!A:A,$M$1+ROW(A8))</f>
        <v>46119</v>
      </c>
      <c r="O8" s="2" cm="1">
        <f t="array" ref="O8">INDEX(pearl!B:B,$M$1+ROW(B8))</f>
        <v>0</v>
      </c>
      <c r="P8" s="2" cm="1">
        <f t="array" ref="P8">INDEX(pearl!C:C,$M$1+ROW(C8))</f>
        <v>0</v>
      </c>
      <c r="Q8" s="2" cm="1">
        <f t="array" ref="Q8">INDEX(pearl!D:D,$M$1+ROW(D8))</f>
        <v>0</v>
      </c>
      <c r="R8" s="2" cm="1">
        <f t="array" ref="R8">INDEX(pearl!E:E,$M$1+ROW(E8))</f>
        <v>3.6</v>
      </c>
      <c r="S8" s="2" cm="1">
        <f t="array" ref="S8">INDEX(pearl!F:F,$M$1+ROW(F8))</f>
        <v>1.1000000000000001</v>
      </c>
      <c r="T8" s="2" cm="1">
        <f t="array" ref="T8">INDEX(pearl!G:G,$M$1+ROW(G8))</f>
        <v>1387</v>
      </c>
      <c r="U8" s="2" cm="1">
        <f t="array" ref="U8">INDEX(pearl!H:H,$M$1+ROW(H8))</f>
        <v>1342.8</v>
      </c>
      <c r="V8" s="2" cm="1">
        <f t="array" ref="V8">INDEX(pearl!I:I,$M$1+ROW(I8))</f>
        <v>44.2</v>
      </c>
      <c r="W8" s="2" cm="1">
        <f t="array" ref="W8">INDEX(pearl!J:J,$M$1+ROW(J8))</f>
        <v>-1</v>
      </c>
      <c r="X8" s="2" cm="1">
        <f t="array" ref="X8">INDEX(pearl!K:K,$M$1+ROW(K8))</f>
        <v>0</v>
      </c>
      <c r="Y8" s="2" cm="1">
        <f t="array" ref="Y8">INDEX(pearl!L:L,$M$1+ROW(L8))</f>
        <v>7.2880000000000003</v>
      </c>
      <c r="Z8" s="2" cm="1">
        <f t="array" ref="Z8">INDEX(pearl!M:M,$M$1+ROW(M8))</f>
        <v>-150.9</v>
      </c>
      <c r="AA8" s="2" cm="1">
        <f t="array" ref="AA8">INDEX(pearl!N:N,$M$1+ROW(N8))</f>
        <v>-154.4</v>
      </c>
      <c r="AB8" s="2" cm="1">
        <f t="array" ref="AB8">INDEX(pearl!O:O,$M$1+ROW(O8))</f>
        <v>0.7</v>
      </c>
      <c r="AC8" s="2" cm="1">
        <f t="array" ref="AC8">INDEX(pearl!P:P,$M$1+ROW(P8))</f>
        <v>7.0549999999999997</v>
      </c>
      <c r="AD8" s="2" cm="1">
        <f t="array" ref="AD8">INDEX(pearl!Q:Q,$M$1+ROW(Q8))</f>
        <v>-149.4</v>
      </c>
      <c r="AE8" s="2" cm="1">
        <f t="array" ref="AE8">INDEX(pearl!R:R,$M$1+ROW(R8))</f>
        <v>-154.1</v>
      </c>
      <c r="AF8" s="2" cm="1">
        <f t="array" ref="AF8">INDEX(pearl!S:S,$M$1+ROW(S8))</f>
        <v>0.7</v>
      </c>
      <c r="AG8" s="2" cm="1">
        <f t="array" ref="AG8">INDEX(pearl!T:T,$M$1+ROW(T8))</f>
        <v>4.67398386271425</v>
      </c>
      <c r="AH8" s="2" cm="1">
        <f t="array" ref="AH8">INDEX(pearl!U:U,$M$1+ROW(U8))</f>
        <v>76</v>
      </c>
      <c r="AI8" s="2" cm="1">
        <f t="array" ref="AI8">INDEX(pearl!V:V,$M$1+ROW(V8))</f>
        <v>70</v>
      </c>
      <c r="AJ8" s="2" cm="1">
        <f t="array" ref="AJ8">INDEX(pearl!W:W,$M$1+ROW(W8))</f>
        <v>17.148709440080001</v>
      </c>
      <c r="AK8" s="2" cm="1">
        <f t="array" ref="AK8">INDEX(pearl!X:X,$M$1+ROW(X8))</f>
        <v>0.43260269000000001</v>
      </c>
      <c r="AL8" s="2" cm="1">
        <f t="array" ref="AL8">INDEX(pearl!Y:Y,$M$1+ROW(Y8))</f>
        <v>4.7</v>
      </c>
    </row>
    <row r="9" spans="13:38" x14ac:dyDescent="0.35">
      <c r="M9" s="2"/>
      <c r="N9" s="3" cm="1">
        <f t="array" ref="N9">INDEX(pearl!A:A,$M$1+ROW(A9))</f>
        <v>46120</v>
      </c>
      <c r="O9" s="2" cm="1">
        <f t="array" ref="O9">INDEX(pearl!B:B,$M$1+ROW(B9))</f>
        <v>0</v>
      </c>
      <c r="P9" s="2" cm="1">
        <f t="array" ref="P9">INDEX(pearl!C:C,$M$1+ROW(C9))</f>
        <v>0</v>
      </c>
      <c r="Q9" s="2" cm="1">
        <f t="array" ref="Q9">INDEX(pearl!D:D,$M$1+ROW(D9))</f>
        <v>0</v>
      </c>
      <c r="R9" s="2" cm="1">
        <f t="array" ref="R9">INDEX(pearl!E:E,$M$1+ROW(E9))</f>
        <v>3.8</v>
      </c>
      <c r="S9" s="2" cm="1">
        <f t="array" ref="S9">INDEX(pearl!F:F,$M$1+ROW(F9))</f>
        <v>1.1000000000000001</v>
      </c>
      <c r="T9" s="2" cm="1">
        <f t="array" ref="T9">INDEX(pearl!G:G,$M$1+ROW(G9))</f>
        <v>1382.1</v>
      </c>
      <c r="U9" s="2" cm="1">
        <f t="array" ref="U9">INDEX(pearl!H:H,$M$1+ROW(H9))</f>
        <v>1338</v>
      </c>
      <c r="V9" s="2" cm="1">
        <f t="array" ref="V9">INDEX(pearl!I:I,$M$1+ROW(I9))</f>
        <v>44.1</v>
      </c>
      <c r="W9" s="2" cm="1">
        <f t="array" ref="W9">INDEX(pearl!J:J,$M$1+ROW(J9))</f>
        <v>-1</v>
      </c>
      <c r="X9" s="2" cm="1">
        <f t="array" ref="X9">INDEX(pearl!K:K,$M$1+ROW(K9))</f>
        <v>0</v>
      </c>
      <c r="Y9" s="2" cm="1">
        <f t="array" ref="Y9">INDEX(pearl!L:L,$M$1+ROW(L9))</f>
        <v>7.2590000000000003</v>
      </c>
      <c r="Z9" s="2" cm="1">
        <f t="array" ref="Z9">INDEX(pearl!M:M,$M$1+ROW(M9))</f>
        <v>-150.80000000000001</v>
      </c>
      <c r="AA9" s="2" cm="1">
        <f t="array" ref="AA9">INDEX(pearl!N:N,$M$1+ROW(N9))</f>
        <v>-154.4</v>
      </c>
      <c r="AB9" s="2" cm="1">
        <f t="array" ref="AB9">INDEX(pearl!O:O,$M$1+ROW(O9))</f>
        <v>0.69</v>
      </c>
      <c r="AC9" s="2" cm="1">
        <f t="array" ref="AC9">INDEX(pearl!P:P,$M$1+ROW(P9))</f>
        <v>7.0270000000000001</v>
      </c>
      <c r="AD9" s="2" cm="1">
        <f t="array" ref="AD9">INDEX(pearl!Q:Q,$M$1+ROW(Q9))</f>
        <v>-149.30000000000001</v>
      </c>
      <c r="AE9" s="2" cm="1">
        <f t="array" ref="AE9">INDEX(pearl!R:R,$M$1+ROW(R9))</f>
        <v>-154.1</v>
      </c>
      <c r="AF9" s="2" cm="1">
        <f t="array" ref="AF9">INDEX(pearl!S:S,$M$1+ROW(S9))</f>
        <v>0.69</v>
      </c>
      <c r="AG9" s="2" cm="1">
        <f t="array" ref="AG9">INDEX(pearl!T:T,$M$1+ROW(T9))</f>
        <v>4.6904885765562696</v>
      </c>
      <c r="AH9" s="2" cm="1">
        <f t="array" ref="AH9">INDEX(pearl!U:U,$M$1+ROW(U9))</f>
        <v>76</v>
      </c>
      <c r="AI9" s="2" cm="1">
        <f t="array" ref="AI9">INDEX(pearl!V:V,$M$1+ROW(V9))</f>
        <v>70</v>
      </c>
      <c r="AJ9" s="2" cm="1">
        <f t="array" ref="AJ9">INDEX(pearl!W:W,$M$1+ROW(W9))</f>
        <v>17.152690888339901</v>
      </c>
      <c r="AK9" s="2" cm="1">
        <f t="array" ref="AK9">INDEX(pearl!X:X,$M$1+ROW(X9))</f>
        <v>0.43268320999999998</v>
      </c>
      <c r="AL9" s="2" cm="1">
        <f t="array" ref="AL9">INDEX(pearl!Y:Y,$M$1+ROW(Y9))</f>
        <v>4.9000000000000004</v>
      </c>
    </row>
    <row r="10" spans="13:38" x14ac:dyDescent="0.35">
      <c r="N10" s="1"/>
    </row>
    <row r="11" spans="13:38" x14ac:dyDescent="0.35">
      <c r="N11" s="1"/>
    </row>
    <row r="12" spans="13:38" x14ac:dyDescent="0.35">
      <c r="N12" s="1"/>
    </row>
    <row r="13" spans="13:38" x14ac:dyDescent="0.35">
      <c r="N13" s="1"/>
    </row>
    <row r="14" spans="13:38" x14ac:dyDescent="0.35">
      <c r="N14" s="1"/>
    </row>
    <row r="15" spans="13:38" x14ac:dyDescent="0.35">
      <c r="N15" s="1"/>
    </row>
    <row r="16" spans="13:38" x14ac:dyDescent="0.35">
      <c r="N16" s="1"/>
    </row>
    <row r="17" spans="14:14" x14ac:dyDescent="0.35">
      <c r="N17" s="1"/>
    </row>
    <row r="18" spans="14:14" x14ac:dyDescent="0.35">
      <c r="N18" s="1"/>
    </row>
    <row r="19" spans="14:14" x14ac:dyDescent="0.35">
      <c r="N19" s="1"/>
    </row>
    <row r="20" spans="14:14" x14ac:dyDescent="0.35">
      <c r="N20" s="1"/>
    </row>
    <row r="21" spans="14:14" x14ac:dyDescent="0.35">
      <c r="N21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croll Bar 1">
              <controlPr defaultSize="0" autoPict="0">
                <anchor moveWithCells="1">
                  <from>
                    <xdr:col>0</xdr:col>
                    <xdr:colOff>603250</xdr:colOff>
                    <xdr:row>20</xdr:row>
                    <xdr:rowOff>6350</xdr:rowOff>
                  </from>
                  <to>
                    <xdr:col>12</xdr:col>
                    <xdr:colOff>12700</xdr:colOff>
                    <xdr:row>21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2E77-868D-48E5-840D-80E0210A33F9}">
  <sheetPr>
    <tabColor rgb="FFFF0000"/>
  </sheetPr>
  <dimension ref="K1:X21"/>
  <sheetViews>
    <sheetView topLeftCell="M13" workbookViewId="0">
      <selection activeCell="Z31" sqref="Z31"/>
    </sheetView>
  </sheetViews>
  <sheetFormatPr defaultRowHeight="14.5" x14ac:dyDescent="0.35"/>
  <cols>
    <col min="12" max="12" width="9.453125" bestFit="1" customWidth="1"/>
    <col min="14" max="14" width="9.453125" bestFit="1" customWidth="1"/>
    <col min="16" max="16" width="10.453125" bestFit="1" customWidth="1"/>
    <col min="19" max="19" width="9.453125" bestFit="1" customWidth="1"/>
    <col min="21" max="21" width="9.453125" bestFit="1" customWidth="1"/>
    <col min="23" max="23" width="10.453125" bestFit="1" customWidth="1"/>
  </cols>
  <sheetData>
    <row r="1" spans="11:24" x14ac:dyDescent="0.35">
      <c r="K1">
        <v>14</v>
      </c>
      <c r="L1" t="s">
        <v>0</v>
      </c>
      <c r="M1" t="s">
        <v>8</v>
      </c>
      <c r="N1" t="s">
        <v>0</v>
      </c>
      <c r="O1" t="s">
        <v>8</v>
      </c>
      <c r="P1" t="s">
        <v>0</v>
      </c>
      <c r="Q1" t="s">
        <v>8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</row>
    <row r="2" spans="11:24" x14ac:dyDescent="0.35">
      <c r="L2" s="1" cm="1">
        <f t="array" ref="L2">INDEX(amber!A:A,$K$1+ROW(A2))</f>
        <v>46127</v>
      </c>
      <c r="M2" cm="1">
        <f t="array" ref="M2">INDEX(amber!I:I,$K$1+ROW(I2))</f>
        <v>-19.3</v>
      </c>
      <c r="N2" s="1" cm="1">
        <f t="array" ref="N2">INDEX(topaz!A:A,$K$1+ROW(A2))</f>
        <v>46127</v>
      </c>
      <c r="O2" cm="1">
        <f t="array" ref="O2">INDEX(topaz!I:I,$K$1+ROW(I2))</f>
        <v>-10.3</v>
      </c>
      <c r="P2" s="1" cm="1">
        <f t="array" ref="P2">INDEX(pearl!A:A,$K$1+ROW(A2))</f>
        <v>46127</v>
      </c>
      <c r="Q2" cm="1">
        <f t="array" ref="Q2">INDEX(pearl!I:I,$K$1+ROW(I2))</f>
        <v>42.2</v>
      </c>
      <c r="S2" s="1" cm="1">
        <f t="array" ref="S2">INDEX($L$2:$L$21,$K$1+ROW()-1)</f>
        <v>46141</v>
      </c>
      <c r="T2" cm="1">
        <f t="array" ref="T2">INDEX($M$2:$M$21,$K$1+ROW()-1)-INDEX($M$2:$M$21,$K$1+1)</f>
        <v>0</v>
      </c>
      <c r="U2" s="1" cm="1">
        <f t="array" ref="U2">INDEX($N$2:$N$21,$K$1+ROW()-1)</f>
        <v>46141</v>
      </c>
      <c r="V2" cm="1">
        <f t="array" ref="V2">INDEX($O$2:$O$21,$K$1+ROW()-1)-INDEX($O$2:$O$21,$K$1+1)</f>
        <v>0</v>
      </c>
      <c r="W2" s="1" cm="1">
        <f t="array" ref="W2">INDEX($P$2:$P$21,$K$1+ROW()-1)</f>
        <v>46141</v>
      </c>
      <c r="X2" cm="1">
        <f t="array" ref="X2">INDEX($Q$2:$Q$21,$K$1+ROW()-1)-INDEX($Q$2:$Q$21,$K$1+1)</f>
        <v>0</v>
      </c>
    </row>
    <row r="3" spans="11:24" x14ac:dyDescent="0.35">
      <c r="L3" s="1" cm="1">
        <f t="array" ref="L3">INDEX(amber!A:A,$K$1+ROW(A3))</f>
        <v>46128</v>
      </c>
      <c r="M3" cm="1">
        <f t="array" ref="M3">INDEX(amber!I:I,$K$1+ROW(I3))</f>
        <v>-17.7</v>
      </c>
      <c r="N3" s="1" cm="1">
        <f t="array" ref="N3">INDEX(topaz!A:A,$K$1+ROW(A3))</f>
        <v>46128</v>
      </c>
      <c r="O3" cm="1">
        <f t="array" ref="O3">INDEX(topaz!I:I,$K$1+ROW(I3))</f>
        <v>-12.3</v>
      </c>
      <c r="P3" s="1" cm="1">
        <f t="array" ref="P3">INDEX(pearl!A:A,$K$1+ROW(A3))</f>
        <v>46128</v>
      </c>
      <c r="Q3" cm="1">
        <f t="array" ref="Q3">INDEX(pearl!I:I,$K$1+ROW(I3))</f>
        <v>42.6</v>
      </c>
      <c r="S3" s="1" cm="1">
        <f t="array" ref="S3">INDEX($L$2:$L$21,$K$1+ROW()-1)</f>
        <v>46142</v>
      </c>
      <c r="T3" cm="1">
        <f t="array" ref="T3">INDEX($M$2:$M$21,$K$1+ROW()-1)-INDEX($M$2:$M$21,$K$1+1)</f>
        <v>0.59999999999999964</v>
      </c>
      <c r="U3" s="1" cm="1">
        <f t="array" ref="U3">INDEX($N$2:$N$21,$K$1+ROW()-1)</f>
        <v>46142</v>
      </c>
      <c r="V3" cm="1">
        <f t="array" ref="V3">INDEX($O$2:$O$21,$K$1+ROW()-1)-INDEX($O$2:$O$21,$K$1+1)</f>
        <v>2.5</v>
      </c>
      <c r="W3" s="1" cm="1">
        <f t="array" ref="W3">INDEX($P$2:$P$21,$K$1+ROW()-1)</f>
        <v>46142</v>
      </c>
      <c r="X3" cm="1">
        <f t="array" ref="X3">INDEX($Q$2:$Q$21,$K$1+ROW()-1)-INDEX($Q$2:$Q$21,$K$1+1)</f>
        <v>-2</v>
      </c>
    </row>
    <row r="4" spans="11:24" x14ac:dyDescent="0.35">
      <c r="L4" s="1" cm="1">
        <f t="array" ref="L4">INDEX(amber!A:A,$K$1+ROW(A4))</f>
        <v>46129</v>
      </c>
      <c r="M4" cm="1">
        <f t="array" ref="M4">INDEX(amber!I:I,$K$1+ROW(I4))</f>
        <v>-20.9</v>
      </c>
      <c r="N4" s="1" cm="1">
        <f t="array" ref="N4">INDEX(topaz!A:A,$K$1+ROW(A4))</f>
        <v>46129</v>
      </c>
      <c r="O4" cm="1">
        <f t="array" ref="O4">INDEX(topaz!I:I,$K$1+ROW(I4))</f>
        <v>-12</v>
      </c>
      <c r="P4" s="1" cm="1">
        <f t="array" ref="P4">INDEX(pearl!A:A,$K$1+ROW(A4))</f>
        <v>46129</v>
      </c>
      <c r="Q4" cm="1">
        <f t="array" ref="Q4">INDEX(pearl!I:I,$K$1+ROW(I4))</f>
        <v>40.9</v>
      </c>
      <c r="S4" s="1" cm="1">
        <f t="array" ref="S4">INDEX($L$2:$L$21,$K$1+ROW()-1)</f>
        <v>46143</v>
      </c>
      <c r="T4" cm="1">
        <f t="array" ref="T4">INDEX($M$2:$M$21,$K$1+ROW()-1)-INDEX($M$2:$M$21,$K$1+1)</f>
        <v>-0.60000000000000142</v>
      </c>
      <c r="U4" s="1" cm="1">
        <f t="array" ref="U4">INDEX($N$2:$N$21,$K$1+ROW()-1)</f>
        <v>46143</v>
      </c>
      <c r="V4" cm="1">
        <f t="array" ref="V4">INDEX($O$2:$O$21,$K$1+ROW()-1)-INDEX($O$2:$O$21,$K$1+1)</f>
        <v>5</v>
      </c>
      <c r="W4" s="1" cm="1">
        <f t="array" ref="W4">INDEX($P$2:$P$21,$K$1+ROW()-1)</f>
        <v>46143</v>
      </c>
      <c r="X4" cm="1">
        <f t="array" ref="X4">INDEX($Q$2:$Q$21,$K$1+ROW()-1)-INDEX($Q$2:$Q$21,$K$1+1)</f>
        <v>0.60000000000000142</v>
      </c>
    </row>
    <row r="5" spans="11:24" x14ac:dyDescent="0.35">
      <c r="L5" s="1" cm="1">
        <f t="array" ref="L5">INDEX(amber!A:A,$K$1+ROW(A5))</f>
        <v>46130</v>
      </c>
      <c r="M5" cm="1">
        <f t="array" ref="M5">INDEX(amber!I:I,$K$1+ROW(I5))</f>
        <v>-22.8</v>
      </c>
      <c r="N5" s="1" cm="1">
        <f t="array" ref="N5">INDEX(topaz!A:A,$K$1+ROW(A5))</f>
        <v>46130</v>
      </c>
      <c r="O5" cm="1">
        <f t="array" ref="O5">INDEX(topaz!I:I,$K$1+ROW(I5))</f>
        <v>-11.4</v>
      </c>
      <c r="P5" s="1" cm="1">
        <f t="array" ref="P5">INDEX(pearl!A:A,$K$1+ROW(A5))</f>
        <v>46130</v>
      </c>
      <c r="Q5" cm="1">
        <f t="array" ref="Q5">INDEX(pearl!I:I,$K$1+ROW(I5))</f>
        <v>40.4</v>
      </c>
      <c r="S5" s="1"/>
      <c r="U5" s="1"/>
      <c r="W5" s="1"/>
    </row>
    <row r="6" spans="11:24" x14ac:dyDescent="0.35">
      <c r="L6" s="1" cm="1">
        <f t="array" ref="L6">INDEX(amber!A:A,$K$1+ROW(A6))</f>
        <v>46131</v>
      </c>
      <c r="M6" cm="1">
        <f t="array" ref="M6">INDEX(amber!I:I,$K$1+ROW(I6))</f>
        <v>-18.5</v>
      </c>
      <c r="N6" s="1" cm="1">
        <f t="array" ref="N6">INDEX(topaz!A:A,$K$1+ROW(A6))</f>
        <v>46131</v>
      </c>
      <c r="O6" cm="1">
        <f t="array" ref="O6">INDEX(topaz!I:I,$K$1+ROW(I6))</f>
        <v>-13.6</v>
      </c>
      <c r="P6" s="1" cm="1">
        <f t="array" ref="P6">INDEX(pearl!A:A,$K$1+ROW(A6))</f>
        <v>46131</v>
      </c>
      <c r="Q6" cm="1">
        <f t="array" ref="Q6">INDEX(pearl!I:I,$K$1+ROW(I6))</f>
        <v>38.299999999999997</v>
      </c>
      <c r="S6" s="1"/>
      <c r="U6" s="1"/>
      <c r="W6" s="1"/>
    </row>
    <row r="7" spans="11:24" x14ac:dyDescent="0.35">
      <c r="L7" s="1" cm="1">
        <f t="array" ref="L7">INDEX(amber!A:A,$K$1+ROW(A7))</f>
        <v>46132</v>
      </c>
      <c r="M7" cm="1">
        <f t="array" ref="M7">INDEX(amber!I:I,$K$1+ROW(I7))</f>
        <v>1.9</v>
      </c>
      <c r="N7" s="1" cm="1">
        <f t="array" ref="N7">INDEX(topaz!A:A,$K$1+ROW(A7))</f>
        <v>46132</v>
      </c>
      <c r="O7" cm="1">
        <f t="array" ref="O7">INDEX(topaz!I:I,$K$1+ROW(I7))</f>
        <v>-14.1</v>
      </c>
      <c r="P7" s="1" cm="1">
        <f t="array" ref="P7">INDEX(pearl!A:A,$K$1+ROW(A7))</f>
        <v>46132</v>
      </c>
      <c r="Q7" cm="1">
        <f t="array" ref="Q7">INDEX(pearl!I:I,$K$1+ROW(I7))</f>
        <v>42.9</v>
      </c>
      <c r="S7" s="1"/>
      <c r="U7" s="1"/>
      <c r="W7" s="1"/>
    </row>
    <row r="8" spans="11:24" x14ac:dyDescent="0.35">
      <c r="L8" s="1" cm="1">
        <f t="array" ref="L8">INDEX(amber!A:A,$K$1+ROW(A8))</f>
        <v>46133</v>
      </c>
      <c r="M8" cm="1">
        <f t="array" ref="M8">INDEX(amber!I:I,$K$1+ROW(I8))</f>
        <v>3</v>
      </c>
      <c r="N8" s="1" cm="1">
        <f t="array" ref="N8">INDEX(topaz!A:A,$K$1+ROW(A8))</f>
        <v>46133</v>
      </c>
      <c r="O8" cm="1">
        <f t="array" ref="O8">INDEX(topaz!I:I,$K$1+ROW(I8))</f>
        <v>-20.3</v>
      </c>
      <c r="P8" s="1" cm="1">
        <f t="array" ref="P8">INDEX(pearl!A:A,$K$1+ROW(A8))</f>
        <v>46133</v>
      </c>
      <c r="Q8" cm="1">
        <f t="array" ref="Q8">INDEX(pearl!I:I,$K$1+ROW(I8))</f>
        <v>39.4</v>
      </c>
      <c r="S8" s="1"/>
      <c r="U8" s="1"/>
      <c r="W8" s="1"/>
    </row>
    <row r="9" spans="11:24" x14ac:dyDescent="0.35">
      <c r="L9" s="1" cm="1">
        <f t="array" ref="L9">INDEX(amber!A:A,$K$1+ROW(A9))</f>
        <v>46134</v>
      </c>
      <c r="M9" cm="1">
        <f t="array" ref="M9">INDEX(amber!I:I,$K$1+ROW(I9))</f>
        <v>2.4</v>
      </c>
      <c r="N9" s="1" cm="1">
        <f t="array" ref="N9">INDEX(topaz!A:A,$K$1+ROW(A9))</f>
        <v>46134</v>
      </c>
      <c r="O9" cm="1">
        <f t="array" ref="O9">INDEX(topaz!I:I,$K$1+ROW(I9))</f>
        <v>-22.4</v>
      </c>
      <c r="P9" s="1" cm="1">
        <f t="array" ref="P9">INDEX(pearl!A:A,$K$1+ROW(A9))</f>
        <v>46134</v>
      </c>
      <c r="Q9" cm="1">
        <f t="array" ref="Q9">INDEX(pearl!I:I,$K$1+ROW(I9))</f>
        <v>35.299999999999997</v>
      </c>
      <c r="S9" s="1"/>
      <c r="U9" s="1"/>
      <c r="W9" s="1"/>
    </row>
    <row r="10" spans="11:24" x14ac:dyDescent="0.35">
      <c r="L10" s="1" cm="1">
        <f t="array" ref="L10">INDEX(amber!A:A,$K$1+ROW(A10))</f>
        <v>46135</v>
      </c>
      <c r="M10" cm="1">
        <f t="array" ref="M10">INDEX(amber!I:I,$K$1+ROW(I10))</f>
        <v>-0.2</v>
      </c>
      <c r="N10" s="1" cm="1">
        <f t="array" ref="N10">INDEX(topaz!A:A,$K$1+ROW(A10))</f>
        <v>46135</v>
      </c>
      <c r="O10" cm="1">
        <f t="array" ref="O10">INDEX(topaz!I:I,$K$1+ROW(I10))</f>
        <v>-21.8</v>
      </c>
      <c r="P10" s="1" cm="1">
        <f t="array" ref="P10">INDEX(pearl!A:A,$K$1+ROW(A10))</f>
        <v>46135</v>
      </c>
      <c r="Q10" cm="1">
        <f t="array" ref="Q10">INDEX(pearl!I:I,$K$1+ROW(I10))</f>
        <v>36.5</v>
      </c>
      <c r="S10" s="1"/>
      <c r="U10" s="1"/>
      <c r="W10" s="1"/>
    </row>
    <row r="11" spans="11:24" x14ac:dyDescent="0.35">
      <c r="L11" s="1" cm="1">
        <f t="array" ref="L11">INDEX(amber!A:A,$K$1+ROW(A11))</f>
        <v>46136</v>
      </c>
      <c r="M11" cm="1">
        <f t="array" ref="M11">INDEX(amber!I:I,$K$1+ROW(I11))</f>
        <v>3.7</v>
      </c>
      <c r="N11" s="1" cm="1">
        <f t="array" ref="N11">INDEX(topaz!A:A,$K$1+ROW(A11))</f>
        <v>46136</v>
      </c>
      <c r="O11" cm="1">
        <f t="array" ref="O11">INDEX(topaz!I:I,$K$1+ROW(I11))</f>
        <v>-13.5</v>
      </c>
      <c r="P11" s="1" cm="1">
        <f t="array" ref="P11">INDEX(pearl!A:A,$K$1+ROW(A11))</f>
        <v>46136</v>
      </c>
      <c r="Q11" cm="1">
        <f t="array" ref="Q11">INDEX(pearl!I:I,$K$1+ROW(I11))</f>
        <v>37.4</v>
      </c>
      <c r="S11" s="1"/>
      <c r="U11" s="1"/>
      <c r="W11" s="1"/>
    </row>
    <row r="12" spans="11:24" x14ac:dyDescent="0.35">
      <c r="L12" s="1" cm="1">
        <f t="array" ref="L12">INDEX(amber!A:A,$K$1+ROW(A12))</f>
        <v>46137</v>
      </c>
      <c r="M12" cm="1">
        <f t="array" ref="M12">INDEX(amber!I:I,$K$1+ROW(I12))</f>
        <v>4.4000000000000004</v>
      </c>
      <c r="N12" s="1" cm="1">
        <f t="array" ref="N12">INDEX(topaz!A:A,$K$1+ROW(A12))</f>
        <v>46137</v>
      </c>
      <c r="O12" cm="1">
        <f t="array" ref="O12">INDEX(topaz!I:I,$K$1+ROW(I12))</f>
        <v>-6</v>
      </c>
      <c r="P12" s="1" cm="1">
        <f t="array" ref="P12">INDEX(pearl!A:A,$K$1+ROW(A12))</f>
        <v>46137</v>
      </c>
      <c r="Q12" cm="1">
        <f t="array" ref="Q12">INDEX(pearl!I:I,$K$1+ROW(I12))</f>
        <v>38.1</v>
      </c>
      <c r="S12" s="1"/>
      <c r="U12" s="1"/>
      <c r="W12" s="1"/>
    </row>
    <row r="13" spans="11:24" x14ac:dyDescent="0.35">
      <c r="L13" s="1" cm="1">
        <f t="array" ref="L13">INDEX(amber!A:A,$K$1+ROW(A13))</f>
        <v>46138</v>
      </c>
      <c r="M13" cm="1">
        <f t="array" ref="M13">INDEX(amber!I:I,$K$1+ROW(I13))</f>
        <v>3.8</v>
      </c>
      <c r="N13" s="1" cm="1">
        <f t="array" ref="N13">INDEX(topaz!A:A,$K$1+ROW(A13))</f>
        <v>46138</v>
      </c>
      <c r="O13" cm="1">
        <f t="array" ref="O13">INDEX(topaz!I:I,$K$1+ROW(I13))</f>
        <v>-5.5</v>
      </c>
      <c r="P13" s="1" cm="1">
        <f t="array" ref="P13">INDEX(pearl!A:A,$K$1+ROW(A13))</f>
        <v>46138</v>
      </c>
      <c r="Q13" cm="1">
        <f t="array" ref="Q13">INDEX(pearl!I:I,$K$1+ROW(I13))</f>
        <v>31.9</v>
      </c>
      <c r="S13" s="1"/>
      <c r="U13" s="1"/>
      <c r="W13" s="1"/>
    </row>
    <row r="14" spans="11:24" x14ac:dyDescent="0.35">
      <c r="L14" s="1" cm="1">
        <f t="array" ref="L14">INDEX(amber!A:A,$K$1+ROW(A14))</f>
        <v>46139</v>
      </c>
      <c r="M14" cm="1">
        <f t="array" ref="M14">INDEX(amber!I:I,$K$1+ROW(I14))</f>
        <v>1.1000000000000001</v>
      </c>
      <c r="N14" s="1" cm="1">
        <f t="array" ref="N14">INDEX(topaz!A:A,$K$1+ROW(A14))</f>
        <v>46139</v>
      </c>
      <c r="O14" cm="1">
        <f t="array" ref="O14">INDEX(topaz!I:I,$K$1+ROW(I14))</f>
        <v>-6.6</v>
      </c>
      <c r="P14" s="1" cm="1">
        <f t="array" ref="P14">INDEX(pearl!A:A,$K$1+ROW(A14))</f>
        <v>46139</v>
      </c>
      <c r="Q14" cm="1">
        <f t="array" ref="Q14">INDEX(pearl!I:I,$K$1+ROW(I14))</f>
        <v>16.8</v>
      </c>
      <c r="S14" s="1"/>
      <c r="U14" s="1"/>
      <c r="W14" s="1"/>
    </row>
    <row r="15" spans="11:24" x14ac:dyDescent="0.35">
      <c r="L15" s="1" cm="1">
        <f t="array" ref="L15">INDEX(amber!A:A,$K$1+ROW(A15))</f>
        <v>46140</v>
      </c>
      <c r="M15" cm="1">
        <f t="array" ref="M15">INDEX(amber!I:I,$K$1+ROW(I15))</f>
        <v>-30.8</v>
      </c>
      <c r="N15" s="1" cm="1">
        <f t="array" ref="N15">INDEX(topaz!A:A,$K$1+ROW(A15))</f>
        <v>46140</v>
      </c>
      <c r="O15" cm="1">
        <f t="array" ref="O15">INDEX(topaz!I:I,$K$1+ROW(I15))</f>
        <v>-5.6</v>
      </c>
      <c r="P15" s="1" cm="1">
        <f t="array" ref="P15">INDEX(pearl!A:A,$K$1+ROW(A15))</f>
        <v>46140</v>
      </c>
      <c r="Q15" cm="1">
        <f t="array" ref="Q15">INDEX(pearl!I:I,$K$1+ROW(I15))</f>
        <v>5.8</v>
      </c>
      <c r="S15" s="1"/>
      <c r="U15" s="1"/>
      <c r="W15" s="1"/>
    </row>
    <row r="16" spans="11:24" x14ac:dyDescent="0.35">
      <c r="L16" s="1" cm="1">
        <f t="array" ref="L16">INDEX(amber!A:A,$K$1+ROW(A16))</f>
        <v>46141</v>
      </c>
      <c r="M16" cm="1">
        <f t="array" ref="M16">INDEX(amber!I:I,$K$1+ROW(I16))</f>
        <v>-10.199999999999999</v>
      </c>
      <c r="N16" s="1" cm="1">
        <f t="array" ref="N16">INDEX(topaz!A:A,$K$1+ROW(A16))</f>
        <v>46141</v>
      </c>
      <c r="O16" cm="1">
        <f t="array" ref="O16">INDEX(topaz!I:I,$K$1+ROW(I16))</f>
        <v>-11.4</v>
      </c>
      <c r="P16" s="1" cm="1">
        <f t="array" ref="P16">INDEX(pearl!A:A,$K$1+ROW(A16))</f>
        <v>46141</v>
      </c>
      <c r="Q16" cm="1">
        <f t="array" ref="Q16">INDEX(pearl!I:I,$K$1+ROW(I16))</f>
        <v>13.2</v>
      </c>
      <c r="S16" s="1"/>
      <c r="U16" s="1"/>
      <c r="W16" s="1"/>
    </row>
    <row r="17" spans="12:23" x14ac:dyDescent="0.35">
      <c r="L17" s="1" cm="1">
        <f t="array" ref="L17">INDEX(amber!A:A,$K$1+ROW(A17))</f>
        <v>46142</v>
      </c>
      <c r="M17" cm="1">
        <f t="array" ref="M17">INDEX(amber!I:I,$K$1+ROW(I17))</f>
        <v>-9.6</v>
      </c>
      <c r="N17" s="1" cm="1">
        <f t="array" ref="N17">INDEX(topaz!A:A,$K$1+ROW(A17))</f>
        <v>46142</v>
      </c>
      <c r="O17" cm="1">
        <f t="array" ref="O17">INDEX(topaz!I:I,$K$1+ROW(I17))</f>
        <v>-8.9</v>
      </c>
      <c r="P17" s="1" cm="1">
        <f t="array" ref="P17">INDEX(pearl!A:A,$K$1+ROW(A17))</f>
        <v>46142</v>
      </c>
      <c r="Q17" cm="1">
        <f t="array" ref="Q17">INDEX(pearl!I:I,$K$1+ROW(I17))</f>
        <v>11.2</v>
      </c>
      <c r="S17" s="1"/>
      <c r="U17" s="1"/>
      <c r="W17" s="1"/>
    </row>
    <row r="18" spans="12:23" x14ac:dyDescent="0.35">
      <c r="L18" s="1" cm="1">
        <f t="array" ref="L18">INDEX(amber!A:A,$K$1+ROW(A18))</f>
        <v>46143</v>
      </c>
      <c r="M18" cm="1">
        <f t="array" ref="M18">INDEX(amber!I:I,$K$1+ROW(I18))</f>
        <v>-10.8</v>
      </c>
      <c r="N18" s="1" cm="1">
        <f t="array" ref="N18">INDEX(topaz!A:A,$K$1+ROW(A18))</f>
        <v>46143</v>
      </c>
      <c r="O18" cm="1">
        <f t="array" ref="O18">INDEX(topaz!I:I,$K$1+ROW(I18))</f>
        <v>-6.4</v>
      </c>
      <c r="P18" s="1" cm="1">
        <f t="array" ref="P18">INDEX(pearl!A:A,$K$1+ROW(A18))</f>
        <v>46143</v>
      </c>
      <c r="Q18" cm="1">
        <f t="array" ref="Q18">INDEX(pearl!I:I,$K$1+ROW(I18))</f>
        <v>13.8</v>
      </c>
      <c r="S18" s="1"/>
      <c r="U18" s="1"/>
      <c r="W18" s="1"/>
    </row>
    <row r="19" spans="12:23" x14ac:dyDescent="0.35">
      <c r="L19" s="1" cm="1">
        <f t="array" ref="L19">INDEX(amber!A:A,$K$1+ROW(A19))</f>
        <v>46144</v>
      </c>
      <c r="M19" cm="1">
        <f t="array" ref="M19">INDEX(amber!I:I,$K$1+ROW(I19))</f>
        <v>-12.1</v>
      </c>
      <c r="N19" s="1" cm="1">
        <f t="array" ref="N19">INDEX(topaz!A:A,$K$1+ROW(A19))</f>
        <v>46144</v>
      </c>
      <c r="O19" cm="1">
        <f t="array" ref="O19">INDEX(topaz!I:I,$K$1+ROW(I19))</f>
        <v>-6.9</v>
      </c>
      <c r="P19" s="1" cm="1">
        <f t="array" ref="P19">INDEX(pearl!A:A,$K$1+ROW(A19))</f>
        <v>46144</v>
      </c>
      <c r="Q19" cm="1">
        <f t="array" ref="Q19">INDEX(pearl!I:I,$K$1+ROW(I19))</f>
        <v>12.5</v>
      </c>
      <c r="S19" s="1"/>
      <c r="U19" s="1"/>
      <c r="W19" s="1"/>
    </row>
    <row r="20" spans="12:23" x14ac:dyDescent="0.35">
      <c r="L20" s="1" cm="1">
        <f t="array" ref="L20">INDEX(amber!A:A,$K$1+ROW(A20))</f>
        <v>0</v>
      </c>
      <c r="M20" cm="1">
        <f t="array" ref="M20">INDEX(amber!I:I,$K$1+ROW(I20))</f>
        <v>0</v>
      </c>
      <c r="N20" s="1" cm="1">
        <f t="array" ref="N20">INDEX(topaz!A:A,$K$1+ROW(A20))</f>
        <v>46145</v>
      </c>
      <c r="O20" cm="1">
        <f t="array" ref="O20">INDEX(topaz!I:I,$K$1+ROW(I20))</f>
        <v>-6.2</v>
      </c>
      <c r="P20" s="1" cm="1">
        <f t="array" ref="P20">INDEX(pearl!A:A,$K$1+ROW(A20))</f>
        <v>46145</v>
      </c>
      <c r="Q20" cm="1">
        <f t="array" ref="Q20">INDEX(pearl!I:I,$K$1+ROW(I20))</f>
        <v>12.5</v>
      </c>
      <c r="S20" s="1"/>
      <c r="U20" s="1"/>
      <c r="W20" s="1"/>
    </row>
    <row r="21" spans="12:23" x14ac:dyDescent="0.35">
      <c r="L21" s="1" cm="1">
        <f t="array" ref="L21">INDEX(amber!A:A,$K$1+ROW(A21))</f>
        <v>0</v>
      </c>
      <c r="M21" cm="1">
        <f t="array" ref="M21">INDEX(amber!I:I,$K$1+ROW(I21))</f>
        <v>0</v>
      </c>
      <c r="N21" s="1" cm="1">
        <f t="array" ref="N21">INDEX(topaz!A:A,$K$1+ROW(A21))</f>
        <v>46146</v>
      </c>
      <c r="O21" cm="1">
        <f t="array" ref="O21">INDEX(topaz!I:I,$K$1+ROW(I21))</f>
        <v>-8</v>
      </c>
      <c r="P21" s="1" cm="1">
        <f t="array" ref="P21">INDEX(pearl!A:A,$K$1+ROW(A21))</f>
        <v>46146</v>
      </c>
      <c r="Q21" cm="1">
        <f t="array" ref="Q21">INDEX(pearl!I:I,$K$1+ROW(I21))</f>
        <v>14.3</v>
      </c>
      <c r="S21" s="1"/>
      <c r="U21" s="1"/>
      <c r="W21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Scroll Bar 1">
              <controlPr defaultSize="0" autoPict="0">
                <anchor moveWithCells="1">
                  <from>
                    <xdr:col>17</xdr:col>
                    <xdr:colOff>590550</xdr:colOff>
                    <xdr:row>22</xdr:row>
                    <xdr:rowOff>25400</xdr:rowOff>
                  </from>
                  <to>
                    <xdr:col>26</xdr:col>
                    <xdr:colOff>412750</xdr:colOff>
                    <xdr:row>24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4EA6-8DCC-47D2-8172-93F7FF3CFFC7}">
  <sheetPr>
    <tabColor theme="5" tint="-0.499984740745262"/>
  </sheetPr>
  <dimension ref="A1:C28"/>
  <sheetViews>
    <sheetView tabSelected="1" workbookViewId="0">
      <selection activeCell="A28" sqref="A28"/>
    </sheetView>
  </sheetViews>
  <sheetFormatPr defaultRowHeight="14.5" x14ac:dyDescent="0.35"/>
  <cols>
    <col min="1" max="1" width="75.26953125" bestFit="1" customWidth="1"/>
    <col min="2" max="2" width="32.6328125" bestFit="1" customWidth="1"/>
    <col min="3" max="3" width="30.81640625" customWidth="1"/>
  </cols>
  <sheetData>
    <row r="1" spans="1:3" ht="18.5" x14ac:dyDescent="0.45">
      <c r="A1" s="5" t="s">
        <v>32</v>
      </c>
    </row>
    <row r="3" spans="1:3" x14ac:dyDescent="0.35">
      <c r="A3" t="s">
        <v>33</v>
      </c>
    </row>
    <row r="4" spans="1:3" x14ac:dyDescent="0.35">
      <c r="A4" t="s">
        <v>34</v>
      </c>
    </row>
    <row r="5" spans="1:3" x14ac:dyDescent="0.35">
      <c r="A5" t="s">
        <v>35</v>
      </c>
    </row>
    <row r="7" spans="1:3" x14ac:dyDescent="0.35">
      <c r="A7" s="6" t="s">
        <v>36</v>
      </c>
      <c r="B7" s="6" t="s">
        <v>37</v>
      </c>
      <c r="C7" s="6" t="s">
        <v>38</v>
      </c>
    </row>
    <row r="8" spans="1:3" x14ac:dyDescent="0.35">
      <c r="A8" s="7" t="s">
        <v>39</v>
      </c>
      <c r="B8" s="7" t="s">
        <v>40</v>
      </c>
      <c r="C8" s="7" t="str" cm="1">
        <f t="array" ref="C8">IF($K$1+ROW()-1&gt;COUNTA($L$2:$L$200),"",INDEX($L$2:$L$200,$K$1+ROW()-1))</f>
        <v/>
      </c>
    </row>
    <row r="9" spans="1:3" x14ac:dyDescent="0.35">
      <c r="A9" s="7" t="s">
        <v>41</v>
      </c>
      <c r="B9" s="7" t="s">
        <v>42</v>
      </c>
      <c r="C9" s="7" t="str" cm="1">
        <f t="array" ref="C9">IF($K$1+ROW()-1&gt;COUNTA($M$2:$M$200),"",INDEX($M$2:$M$200,$K$1+ROW()-1)-INDEX($M$2:$M$200,$K$1+1))</f>
        <v/>
      </c>
    </row>
    <row r="10" spans="1:3" x14ac:dyDescent="0.35">
      <c r="A10" s="7" t="s">
        <v>43</v>
      </c>
      <c r="B10" s="7" t="s">
        <v>40</v>
      </c>
      <c r="C10" s="7" t="str" cm="1">
        <f t="array" ref="C10">IF($K$1+ROW()-1&gt;COUNTA($N$2:$N$200),"",INDEX($N$2:$N$200,$K$1+ROW()-1))</f>
        <v/>
      </c>
    </row>
    <row r="11" spans="1:3" x14ac:dyDescent="0.35">
      <c r="A11" s="7" t="s">
        <v>44</v>
      </c>
      <c r="B11" s="7" t="s">
        <v>42</v>
      </c>
      <c r="C11" s="7" t="str" cm="1">
        <f t="array" ref="C11">IF($K$1+ROW()-1&gt;COUNTA($O$2:$O$200),"",INDEX($O$2:$O$200,$K$1+ROW()-1)-INDEX($O$2:$O$200,$K$1+1))</f>
        <v/>
      </c>
    </row>
    <row r="12" spans="1:3" x14ac:dyDescent="0.35">
      <c r="A12" s="7" t="s">
        <v>45</v>
      </c>
      <c r="B12" s="7" t="s">
        <v>40</v>
      </c>
      <c r="C12" s="7" t="str" cm="1">
        <f t="array" ref="C12">IF($K$1+ROW()-1&gt;COUNTA($P$2:$P$200),"",INDEX($P$2:$P$200,$K$1+ROW()-1))</f>
        <v/>
      </c>
    </row>
    <row r="13" spans="1:3" x14ac:dyDescent="0.35">
      <c r="A13" s="7" t="s">
        <v>46</v>
      </c>
      <c r="B13" s="7" t="s">
        <v>42</v>
      </c>
      <c r="C13" s="7" t="str" cm="1">
        <f t="array" ref="C13">IF($K$1+ROW()-1&gt;COUNTA($Q$2:$Q$200),"",INDEX($Q$2:$Q$200,$K$1+ROW()-1)-INDEX($Q$2:$Q$200,$K$1+1))</f>
        <v/>
      </c>
    </row>
    <row r="15" spans="1:3" x14ac:dyDescent="0.35">
      <c r="A15" s="4" t="s">
        <v>47</v>
      </c>
    </row>
    <row r="16" spans="1:3" x14ac:dyDescent="0.35">
      <c r="A16" t="s">
        <v>48</v>
      </c>
      <c r="B16" t="s">
        <v>60</v>
      </c>
    </row>
    <row r="17" spans="1:2" x14ac:dyDescent="0.35">
      <c r="A17" t="s">
        <v>49</v>
      </c>
      <c r="B17" t="s">
        <v>61</v>
      </c>
    </row>
    <row r="18" spans="1:2" x14ac:dyDescent="0.35">
      <c r="A18" t="s">
        <v>50</v>
      </c>
    </row>
    <row r="19" spans="1:2" x14ac:dyDescent="0.35">
      <c r="A19" t="s">
        <v>51</v>
      </c>
    </row>
    <row r="20" spans="1:2" x14ac:dyDescent="0.35">
      <c r="A20" t="s">
        <v>52</v>
      </c>
    </row>
    <row r="21" spans="1:2" x14ac:dyDescent="0.35">
      <c r="A21" t="s">
        <v>53</v>
      </c>
    </row>
    <row r="22" spans="1:2" x14ac:dyDescent="0.35">
      <c r="A22" t="s">
        <v>54</v>
      </c>
    </row>
    <row r="24" spans="1:2" x14ac:dyDescent="0.35">
      <c r="A24" s="4" t="s">
        <v>55</v>
      </c>
    </row>
    <row r="25" spans="1:2" x14ac:dyDescent="0.35">
      <c r="A25" t="s">
        <v>56</v>
      </c>
    </row>
    <row r="26" spans="1:2" x14ac:dyDescent="0.35">
      <c r="A26" t="s">
        <v>57</v>
      </c>
    </row>
    <row r="27" spans="1:2" x14ac:dyDescent="0.35">
      <c r="A27" t="s">
        <v>58</v>
      </c>
    </row>
    <row r="28" spans="1:2" x14ac:dyDescent="0.35">
      <c r="A28" t="s">
        <v>59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B111-A187-44ED-8374-9CD8F99D511F}">
  <sheetPr>
    <tabColor rgb="FFFF0000"/>
  </sheetPr>
  <dimension ref="K1:X21"/>
  <sheetViews>
    <sheetView topLeftCell="K1" workbookViewId="0">
      <selection activeCell="T2" sqref="T2"/>
    </sheetView>
  </sheetViews>
  <sheetFormatPr defaultRowHeight="14.5" x14ac:dyDescent="0.35"/>
  <cols>
    <col min="12" max="12" width="9.453125" bestFit="1" customWidth="1"/>
    <col min="14" max="14" width="9.453125" bestFit="1" customWidth="1"/>
    <col min="16" max="16" width="10.453125" bestFit="1" customWidth="1"/>
    <col min="19" max="19" width="9.453125" bestFit="1" customWidth="1"/>
    <col min="21" max="21" width="9.453125" bestFit="1" customWidth="1"/>
    <col min="23" max="23" width="10.453125" bestFit="1" customWidth="1"/>
  </cols>
  <sheetData>
    <row r="1" spans="11:24" x14ac:dyDescent="0.35">
      <c r="K1">
        <v>0</v>
      </c>
      <c r="L1" t="s">
        <v>0</v>
      </c>
      <c r="M1" t="s">
        <v>8</v>
      </c>
      <c r="N1" t="s">
        <v>0</v>
      </c>
      <c r="O1" t="s">
        <v>8</v>
      </c>
      <c r="P1" t="s">
        <v>0</v>
      </c>
      <c r="Q1" t="s">
        <v>8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</row>
    <row r="2" spans="11:24" x14ac:dyDescent="0.35">
      <c r="L2" s="1" cm="1">
        <f t="array" ref="L2">INDEX(amber!A:A,$K$1+ROW(A2))</f>
        <v>46113</v>
      </c>
      <c r="M2" cm="1">
        <f t="array" ref="M2">INDEX(amber!I:I,$K$1+ROW(I2))</f>
        <v>0</v>
      </c>
      <c r="N2" s="1" cm="1">
        <f t="array" ref="N2">INDEX(topaz!A:A,$K$1+ROW(A2))</f>
        <v>46113</v>
      </c>
      <c r="O2" cm="1">
        <f t="array" ref="O2">INDEX(topaz!I:I,$K$1+ROW(I2))</f>
        <v>0</v>
      </c>
      <c r="P2" s="1" cm="1">
        <f t="array" ref="P2">INDEX(pearl!A:A,$K$1+ROW(A2))</f>
        <v>46113</v>
      </c>
      <c r="Q2" cm="1">
        <f t="array" ref="Q2">INDEX(pearl!I:I,$K$1+ROW(I2))</f>
        <v>0</v>
      </c>
      <c r="S2" s="1" cm="1">
        <f t="array" ref="S2">IF($K$1+ROW()-1&gt;COUNTA($L$2:$L$200),"",INDEX($L$2:$L$200,$K$1+ROW()-1))</f>
        <v>46113</v>
      </c>
      <c r="T2" cm="1">
        <f t="array" ref="T2">IF($K$1+ROW()-1&gt;COUNTA($M$2:$M$200),"",INDEX($M$2:$M$200,$K$1+ROW()-1)-INDEX($M$2:$M$200,$K$1+1))</f>
        <v>0</v>
      </c>
      <c r="U2" s="1" cm="1">
        <f t="array" ref="U2">IF($K$1+ROW()-1&gt;COUNTA($N$2:$N$200),"",INDEX($N$2:$N$200,$K$1+ROW()-1))</f>
        <v>46113</v>
      </c>
      <c r="V2" cm="1">
        <f t="array" ref="V2">IF($K$1+ROW()-1&gt;COUNTA($O$2:$O$200),"",INDEX($O$2:$O$200,$K$1+ROW()-1)-INDEX($O$2:$O$200,$K$1+1))</f>
        <v>0</v>
      </c>
      <c r="W2" s="1" cm="1">
        <f t="array" ref="W2">IF($K$1+ROW()-1&gt;COUNTA($P$2:$P$200),"",INDEX($P$2:$P$200,$K$1+ROW()-1))</f>
        <v>46113</v>
      </c>
      <c r="X2" cm="1">
        <f t="array" ref="X2">IF($K$1+ROW()-1&gt;COUNTA($Q$2:$Q$200),"",INDEX($Q$2:$Q$200,$K$1+ROW()-1)-INDEX($Q$2:$Q$200,$K$1+1))</f>
        <v>0</v>
      </c>
    </row>
    <row r="3" spans="11:24" x14ac:dyDescent="0.35">
      <c r="L3" s="1" cm="1">
        <f t="array" ref="L3">INDEX(amber!A:A,$K$1+ROW(A3))</f>
        <v>46114</v>
      </c>
      <c r="M3" cm="1">
        <f t="array" ref="M3">INDEX(amber!I:I,$K$1+ROW(I3))</f>
        <v>9.1999999999999993</v>
      </c>
      <c r="N3" s="1" cm="1">
        <f t="array" ref="N3">INDEX(topaz!A:A,$K$1+ROW(A3))</f>
        <v>46114</v>
      </c>
      <c r="O3" cm="1">
        <f t="array" ref="O3">INDEX(topaz!I:I,$K$1+ROW(I3))</f>
        <v>14.5</v>
      </c>
      <c r="P3" s="1" cm="1">
        <f t="array" ref="P3">INDEX(pearl!A:A,$K$1+ROW(A3))</f>
        <v>46114</v>
      </c>
      <c r="Q3" cm="1">
        <f t="array" ref="Q3">INDEX(pearl!I:I,$K$1+ROW(I3))</f>
        <v>25.6</v>
      </c>
      <c r="S3" s="1" cm="1">
        <f t="array" ref="S3">IF($K$1+ROW()-1&gt;COUNTA($L$2:$L$200),"",INDEX($L$2:$L$200,$K$1+ROW()-1))</f>
        <v>46114</v>
      </c>
      <c r="T3" cm="1">
        <f t="array" ref="T3">IF($K$1+ROW()-1&gt;COUNTA($M$2:$M$200),"",INDEX($M$2:$M$200,$K$1+ROW()-1)-INDEX($M$2:$M$200,$K$1+1))</f>
        <v>9.1999999999999993</v>
      </c>
      <c r="U3" s="1" cm="1">
        <f t="array" ref="U3">IF($K$1+ROW()-1&gt;COUNTA($N$2:$N$200),"",INDEX($N$2:$N$200,$K$1+ROW()-1))</f>
        <v>46114</v>
      </c>
      <c r="V3" cm="1">
        <f t="array" ref="V3">IF($K$1+ROW()-1&gt;COUNTA($O$2:$O$200),"",INDEX($O$2:$O$200,$K$1+ROW()-1)-INDEX($O$2:$O$200,$K$1+1))</f>
        <v>14.5</v>
      </c>
      <c r="W3" s="1" cm="1">
        <f t="array" ref="W3">IF($K$1+ROW()-1&gt;COUNTA($P$2:$P$200),"",INDEX($P$2:$P$200,$K$1+ROW()-1))</f>
        <v>46114</v>
      </c>
      <c r="X3" cm="1">
        <f t="array" ref="X3">IF($K$1+ROW()-1&gt;COUNTA($Q$2:$Q$200),"",INDEX($Q$2:$Q$200,$K$1+ROW()-1)-INDEX($Q$2:$Q$200,$K$1+1))</f>
        <v>25.6</v>
      </c>
    </row>
    <row r="4" spans="11:24" x14ac:dyDescent="0.35">
      <c r="L4" s="1" cm="1">
        <f t="array" ref="L4">INDEX(amber!A:A,$K$1+ROW(A4))</f>
        <v>46115</v>
      </c>
      <c r="M4" cm="1">
        <f t="array" ref="M4">INDEX(amber!I:I,$K$1+ROW(I4))</f>
        <v>34.799999999999997</v>
      </c>
      <c r="N4" s="1" cm="1">
        <f t="array" ref="N4">INDEX(topaz!A:A,$K$1+ROW(A4))</f>
        <v>46115</v>
      </c>
      <c r="O4" cm="1">
        <f t="array" ref="O4">INDEX(topaz!I:I,$K$1+ROW(I4))</f>
        <v>3.5</v>
      </c>
      <c r="P4" s="1" cm="1">
        <f t="array" ref="P4">INDEX(pearl!A:A,$K$1+ROW(A4))</f>
        <v>46115</v>
      </c>
      <c r="Q4" cm="1">
        <f t="array" ref="Q4">INDEX(pearl!I:I,$K$1+ROW(I4))</f>
        <v>28.6</v>
      </c>
      <c r="S4" s="1" cm="1">
        <f t="array" ref="S4">IF($K$1+ROW()-1&gt;COUNTA($L$2:$L$200),"",INDEX($L$2:$L$200,$K$1+ROW()-1))</f>
        <v>46115</v>
      </c>
      <c r="T4" cm="1">
        <f t="array" ref="T4">IF($K$1+ROW()-1&gt;COUNTA($M$2:$M$200),"",INDEX($M$2:$M$200,$K$1+ROW()-1)-INDEX($M$2:$M$200,$K$1+1))</f>
        <v>34.799999999999997</v>
      </c>
      <c r="U4" s="1" cm="1">
        <f t="array" ref="U4">IF($K$1+ROW()-1&gt;COUNTA($N$2:$N$200),"",INDEX($N$2:$N$200,$K$1+ROW()-1))</f>
        <v>46115</v>
      </c>
      <c r="V4" cm="1">
        <f t="array" ref="V4">IF($K$1+ROW()-1&gt;COUNTA($O$2:$O$200),"",INDEX($O$2:$O$200,$K$1+ROW()-1)-INDEX($O$2:$O$200,$K$1+1))</f>
        <v>3.5</v>
      </c>
      <c r="W4" s="1" cm="1">
        <f t="array" ref="W4">IF($K$1+ROW()-1&gt;COUNTA($P$2:$P$200),"",INDEX($P$2:$P$200,$K$1+ROW()-1))</f>
        <v>46115</v>
      </c>
      <c r="X4" cm="1">
        <f t="array" ref="X4">IF($K$1+ROW()-1&gt;COUNTA($Q$2:$Q$200),"",INDEX($Q$2:$Q$200,$K$1+ROW()-1)-INDEX($Q$2:$Q$200,$K$1+1))</f>
        <v>28.6</v>
      </c>
    </row>
    <row r="5" spans="11:24" x14ac:dyDescent="0.35">
      <c r="L5" s="1" cm="1">
        <f t="array" ref="L5">INDEX(amber!A:A,$K$1+ROW(A5))</f>
        <v>46116</v>
      </c>
      <c r="M5" cm="1">
        <f t="array" ref="M5">INDEX(amber!I:I,$K$1+ROW(I5))</f>
        <v>-20.399999999999999</v>
      </c>
      <c r="N5" s="1" cm="1">
        <f t="array" ref="N5">INDEX(topaz!A:A,$K$1+ROW(A5))</f>
        <v>46116</v>
      </c>
      <c r="O5" cm="1">
        <f t="array" ref="O5">INDEX(topaz!I:I,$K$1+ROW(I5))</f>
        <v>-11.8</v>
      </c>
      <c r="P5" s="1" cm="1">
        <f t="array" ref="P5">INDEX(pearl!A:A,$K$1+ROW(A5))</f>
        <v>46116</v>
      </c>
      <c r="Q5" cm="1">
        <f t="array" ref="Q5">INDEX(pearl!I:I,$K$1+ROW(I5))</f>
        <v>49</v>
      </c>
      <c r="S5" s="1" cm="1">
        <f t="array" ref="S5">IF($K$1+ROW()-1&gt;COUNTA($L$2:$L$200),"",INDEX($L$2:$L$200,$K$1+ROW()-1))</f>
        <v>46116</v>
      </c>
      <c r="T5" cm="1">
        <f t="array" ref="T5">IF($K$1+ROW()-1&gt;COUNTA($M$2:$M$200),"",INDEX($M$2:$M$200,$K$1+ROW()-1)-INDEX($M$2:$M$200,$K$1+1))</f>
        <v>-20.399999999999999</v>
      </c>
      <c r="U5" s="1" cm="1">
        <f t="array" ref="U5">IF($K$1+ROW()-1&gt;COUNTA($N$2:$N$200),"",INDEX($N$2:$N$200,$K$1+ROW()-1))</f>
        <v>46116</v>
      </c>
      <c r="V5" cm="1">
        <f t="array" ref="V5">IF($K$1+ROW()-1&gt;COUNTA($O$2:$O$200),"",INDEX($O$2:$O$200,$K$1+ROW()-1)-INDEX($O$2:$O$200,$K$1+1))</f>
        <v>-11.8</v>
      </c>
      <c r="W5" s="1" cm="1">
        <f t="array" ref="W5">IF($K$1+ROW()-1&gt;COUNTA($P$2:$P$200),"",INDEX($P$2:$P$200,$K$1+ROW()-1))</f>
        <v>46116</v>
      </c>
      <c r="X5" cm="1">
        <f t="array" ref="X5">IF($K$1+ROW()-1&gt;COUNTA($Q$2:$Q$200),"",INDEX($Q$2:$Q$200,$K$1+ROW()-1)-INDEX($Q$2:$Q$200,$K$1+1))</f>
        <v>49</v>
      </c>
    </row>
    <row r="6" spans="11:24" x14ac:dyDescent="0.35">
      <c r="L6" s="1" cm="1">
        <f t="array" ref="L6">INDEX(amber!A:A,$K$1+ROW(A6))</f>
        <v>46117</v>
      </c>
      <c r="M6" cm="1">
        <f t="array" ref="M6">INDEX(amber!I:I,$K$1+ROW(I6))</f>
        <v>-17.2</v>
      </c>
      <c r="N6" s="1" cm="1">
        <f t="array" ref="N6">INDEX(topaz!A:A,$K$1+ROW(A6))</f>
        <v>46117</v>
      </c>
      <c r="O6" cm="1">
        <f t="array" ref="O6">INDEX(topaz!I:I,$K$1+ROW(I6))</f>
        <v>-13</v>
      </c>
      <c r="P6" s="1" cm="1">
        <f t="array" ref="P6">INDEX(pearl!A:A,$K$1+ROW(A6))</f>
        <v>46117</v>
      </c>
      <c r="Q6" cm="1">
        <f t="array" ref="Q6">INDEX(pearl!I:I,$K$1+ROW(I6))</f>
        <v>45.4</v>
      </c>
      <c r="S6" s="1" cm="1">
        <f t="array" ref="S6">IF($K$1+ROW()-1&gt;COUNTA($L$2:$L$200),"",INDEX($L$2:$L$200,$K$1+ROW()-1))</f>
        <v>46117</v>
      </c>
      <c r="T6" cm="1">
        <f t="array" ref="T6">IF($K$1+ROW()-1&gt;COUNTA($M$2:$M$200),"",INDEX($M$2:$M$200,$K$1+ROW()-1)-INDEX($M$2:$M$200,$K$1+1))</f>
        <v>-17.2</v>
      </c>
      <c r="U6" s="1" cm="1">
        <f t="array" ref="U6">IF($K$1+ROW()-1&gt;COUNTA($N$2:$N$200),"",INDEX($N$2:$N$200,$K$1+ROW()-1))</f>
        <v>46117</v>
      </c>
      <c r="V6" cm="1">
        <f t="array" ref="V6">IF($K$1+ROW()-1&gt;COUNTA($O$2:$O$200),"",INDEX($O$2:$O$200,$K$1+ROW()-1)-INDEX($O$2:$O$200,$K$1+1))</f>
        <v>-13</v>
      </c>
      <c r="W6" s="1" cm="1">
        <f t="array" ref="W6">IF($K$1+ROW()-1&gt;COUNTA($P$2:$P$200),"",INDEX($P$2:$P$200,$K$1+ROW()-1))</f>
        <v>46117</v>
      </c>
      <c r="X6" cm="1">
        <f t="array" ref="X6">IF($K$1+ROW()-1&gt;COUNTA($Q$2:$Q$200),"",INDEX($Q$2:$Q$200,$K$1+ROW()-1)-INDEX($Q$2:$Q$200,$K$1+1))</f>
        <v>45.4</v>
      </c>
    </row>
    <row r="7" spans="11:24" x14ac:dyDescent="0.35">
      <c r="L7" s="1" cm="1">
        <f t="array" ref="L7">INDEX(amber!A:A,$K$1+ROW(A7))</f>
        <v>46118</v>
      </c>
      <c r="M7" cm="1">
        <f t="array" ref="M7">INDEX(amber!I:I,$K$1+ROW(I7))</f>
        <v>-15.2</v>
      </c>
      <c r="N7" s="1" cm="1">
        <f t="array" ref="N7">INDEX(topaz!A:A,$K$1+ROW(A7))</f>
        <v>46118</v>
      </c>
      <c r="O7" cm="1">
        <f t="array" ref="O7">INDEX(topaz!I:I,$K$1+ROW(I7))</f>
        <v>-16.5</v>
      </c>
      <c r="P7" s="1" cm="1">
        <f t="array" ref="P7">INDEX(pearl!A:A,$K$1+ROW(A7))</f>
        <v>46118</v>
      </c>
      <c r="Q7" cm="1">
        <f t="array" ref="Q7">INDEX(pearl!I:I,$K$1+ROW(I7))</f>
        <v>45</v>
      </c>
      <c r="S7" s="1" cm="1">
        <f t="array" ref="S7">IF($K$1+ROW()-1&gt;COUNTA($L$2:$L$200),"",INDEX($L$2:$L$200,$K$1+ROW()-1))</f>
        <v>46118</v>
      </c>
      <c r="T7" cm="1">
        <f t="array" ref="T7">IF($K$1+ROW()-1&gt;COUNTA($M$2:$M$200),"",INDEX($M$2:$M$200,$K$1+ROW()-1)-INDEX($M$2:$M$200,$K$1+1))</f>
        <v>-15.2</v>
      </c>
      <c r="U7" s="1" cm="1">
        <f t="array" ref="U7">IF($K$1+ROW()-1&gt;COUNTA($N$2:$N$200),"",INDEX($N$2:$N$200,$K$1+ROW()-1))</f>
        <v>46118</v>
      </c>
      <c r="V7" cm="1">
        <f t="array" ref="V7">IF($K$1+ROW()-1&gt;COUNTA($O$2:$O$200),"",INDEX($O$2:$O$200,$K$1+ROW()-1)-INDEX($O$2:$O$200,$K$1+1))</f>
        <v>-16.5</v>
      </c>
      <c r="W7" s="1" cm="1">
        <f t="array" ref="W7">IF($K$1+ROW()-1&gt;COUNTA($P$2:$P$200),"",INDEX($P$2:$P$200,$K$1+ROW()-1))</f>
        <v>46118</v>
      </c>
      <c r="X7" cm="1">
        <f t="array" ref="X7">IF($K$1+ROW()-1&gt;COUNTA($Q$2:$Q$200),"",INDEX($Q$2:$Q$200,$K$1+ROW()-1)-INDEX($Q$2:$Q$200,$K$1+1))</f>
        <v>45</v>
      </c>
    </row>
    <row r="8" spans="11:24" x14ac:dyDescent="0.35">
      <c r="L8" s="1" cm="1">
        <f t="array" ref="L8">INDEX(amber!A:A,$K$1+ROW(A8))</f>
        <v>46119</v>
      </c>
      <c r="M8" cm="1">
        <f t="array" ref="M8">INDEX(amber!I:I,$K$1+ROW(I8))</f>
        <v>-13.9</v>
      </c>
      <c r="N8" s="1" cm="1">
        <f t="array" ref="N8">INDEX(topaz!A:A,$K$1+ROW(A8))</f>
        <v>46119</v>
      </c>
      <c r="O8" cm="1">
        <f t="array" ref="O8">INDEX(topaz!I:I,$K$1+ROW(I8))</f>
        <v>-9.9</v>
      </c>
      <c r="P8" s="1" cm="1">
        <f t="array" ref="P8">INDEX(pearl!A:A,$K$1+ROW(A8))</f>
        <v>46119</v>
      </c>
      <c r="Q8" cm="1">
        <f t="array" ref="Q8">INDEX(pearl!I:I,$K$1+ROW(I8))</f>
        <v>44.2</v>
      </c>
      <c r="S8" s="1" cm="1">
        <f t="array" ref="S8">IF($K$1+ROW()-1&gt;COUNTA($L$2:$L$200),"",INDEX($L$2:$L$200,$K$1+ROW()-1))</f>
        <v>46119</v>
      </c>
      <c r="T8" cm="1">
        <f t="array" ref="T8">IF($K$1+ROW()-1&gt;COUNTA($M$2:$M$200),"",INDEX($M$2:$M$200,$K$1+ROW()-1)-INDEX($M$2:$M$200,$K$1+1))</f>
        <v>-13.9</v>
      </c>
      <c r="U8" s="1" cm="1">
        <f t="array" ref="U8">IF($K$1+ROW()-1&gt;COUNTA($N$2:$N$200),"",INDEX($N$2:$N$200,$K$1+ROW()-1))</f>
        <v>46119</v>
      </c>
      <c r="V8" cm="1">
        <f t="array" ref="V8">IF($K$1+ROW()-1&gt;COUNTA($O$2:$O$200),"",INDEX($O$2:$O$200,$K$1+ROW()-1)-INDEX($O$2:$O$200,$K$1+1))</f>
        <v>-9.9</v>
      </c>
      <c r="W8" s="1" cm="1">
        <f t="array" ref="W8">IF($K$1+ROW()-1&gt;COUNTA($P$2:$P$200),"",INDEX($P$2:$P$200,$K$1+ROW()-1))</f>
        <v>46119</v>
      </c>
      <c r="X8" cm="1">
        <f t="array" ref="X8">IF($K$1+ROW()-1&gt;COUNTA($Q$2:$Q$200),"",INDEX($Q$2:$Q$200,$K$1+ROW()-1)-INDEX($Q$2:$Q$200,$K$1+1))</f>
        <v>44.2</v>
      </c>
    </row>
    <row r="9" spans="11:24" x14ac:dyDescent="0.35">
      <c r="L9" s="1" cm="1">
        <f t="array" ref="L9">INDEX(amber!A:A,$K$1+ROW(A9))</f>
        <v>46120</v>
      </c>
      <c r="M9" cm="1">
        <f t="array" ref="M9">INDEX(amber!I:I,$K$1+ROW(I9))</f>
        <v>-24.2</v>
      </c>
      <c r="N9" s="1" cm="1">
        <f t="array" ref="N9">INDEX(topaz!A:A,$K$1+ROW(A9))</f>
        <v>46120</v>
      </c>
      <c r="O9" cm="1">
        <f t="array" ref="O9">INDEX(topaz!I:I,$K$1+ROW(I9))</f>
        <v>-10.3</v>
      </c>
      <c r="P9" s="1" cm="1">
        <f t="array" ref="P9">INDEX(pearl!A:A,$K$1+ROW(A9))</f>
        <v>46120</v>
      </c>
      <c r="Q9" cm="1">
        <f t="array" ref="Q9">INDEX(pearl!I:I,$K$1+ROW(I9))</f>
        <v>44.1</v>
      </c>
      <c r="S9" s="1" cm="1">
        <f t="array" ref="S9">IF($K$1+ROW()-1&gt;COUNTA($L$2:$L$200),"",INDEX($L$2:$L$200,$K$1+ROW()-1))</f>
        <v>46120</v>
      </c>
      <c r="T9" cm="1">
        <f t="array" ref="T9">IF($K$1+ROW()-1&gt;COUNTA($M$2:$M$200),"",INDEX($M$2:$M$200,$K$1+ROW()-1)-INDEX($M$2:$M$200,$K$1+1))</f>
        <v>-24.2</v>
      </c>
      <c r="U9" s="1" cm="1">
        <f t="array" ref="U9">IF($K$1+ROW()-1&gt;COUNTA($N$2:$N$200),"",INDEX($N$2:$N$200,$K$1+ROW()-1))</f>
        <v>46120</v>
      </c>
      <c r="V9" cm="1">
        <f t="array" ref="V9">IF($K$1+ROW()-1&gt;COUNTA($O$2:$O$200),"",INDEX($O$2:$O$200,$K$1+ROW()-1)-INDEX($O$2:$O$200,$K$1+1))</f>
        <v>-10.3</v>
      </c>
      <c r="W9" s="1" cm="1">
        <f t="array" ref="W9">IF($K$1+ROW()-1&gt;COUNTA($P$2:$P$200),"",INDEX($P$2:$P$200,$K$1+ROW()-1))</f>
        <v>46120</v>
      </c>
      <c r="X9" cm="1">
        <f t="array" ref="X9">IF($K$1+ROW()-1&gt;COUNTA($Q$2:$Q$200),"",INDEX($Q$2:$Q$200,$K$1+ROW()-1)-INDEX($Q$2:$Q$200,$K$1+1))</f>
        <v>44.1</v>
      </c>
    </row>
    <row r="10" spans="11:24" x14ac:dyDescent="0.35">
      <c r="L10" s="1" cm="1">
        <f t="array" ref="L10">INDEX(amber!A:A,$K$1+ROW(A10))</f>
        <v>46121</v>
      </c>
      <c r="M10" cm="1">
        <f t="array" ref="M10">INDEX(amber!I:I,$K$1+ROW(I10))</f>
        <v>-20.7</v>
      </c>
      <c r="N10" s="1" cm="1">
        <f t="array" ref="N10">INDEX(topaz!A:A,$K$1+ROW(A10))</f>
        <v>46121</v>
      </c>
      <c r="O10" cm="1">
        <f t="array" ref="O10">INDEX(topaz!I:I,$K$1+ROW(I10))</f>
        <v>-9.5</v>
      </c>
      <c r="P10" s="1" cm="1">
        <f t="array" ref="P10">INDEX(pearl!A:A,$K$1+ROW(A10))</f>
        <v>46121</v>
      </c>
      <c r="Q10" cm="1">
        <f t="array" ref="Q10">INDEX(pearl!I:I,$K$1+ROW(I10))</f>
        <v>40</v>
      </c>
      <c r="S10" s="1" cm="1">
        <f t="array" ref="S10">IF($K$1+ROW()-1&gt;COUNTA($L$2:$L$200),"",INDEX($L$2:$L$200,$K$1+ROW()-1))</f>
        <v>46121</v>
      </c>
      <c r="T10" cm="1">
        <f t="array" ref="T10">IF($K$1+ROW()-1&gt;COUNTA($M$2:$M$200),"",INDEX($M$2:$M$200,$K$1+ROW()-1)-INDEX($M$2:$M$200,$K$1+1))</f>
        <v>-20.7</v>
      </c>
      <c r="U10" s="1" cm="1">
        <f t="array" ref="U10">IF($K$1+ROW()-1&gt;COUNTA($N$2:$N$200),"",INDEX($N$2:$N$200,$K$1+ROW()-1))</f>
        <v>46121</v>
      </c>
      <c r="V10" cm="1">
        <f t="array" ref="V10">IF($K$1+ROW()-1&gt;COUNTA($O$2:$O$200),"",INDEX($O$2:$O$200,$K$1+ROW()-1)-INDEX($O$2:$O$200,$K$1+1))</f>
        <v>-9.5</v>
      </c>
      <c r="W10" s="1" cm="1">
        <f t="array" ref="W10">IF($K$1+ROW()-1&gt;COUNTA($P$2:$P$200),"",INDEX($P$2:$P$200,$K$1+ROW()-1))</f>
        <v>46121</v>
      </c>
      <c r="X10" cm="1">
        <f t="array" ref="X10">IF($K$1+ROW()-1&gt;COUNTA($Q$2:$Q$200),"",INDEX($Q$2:$Q$200,$K$1+ROW()-1)-INDEX($Q$2:$Q$200,$K$1+1))</f>
        <v>40</v>
      </c>
    </row>
    <row r="11" spans="11:24" x14ac:dyDescent="0.35">
      <c r="L11" s="1" cm="1">
        <f t="array" ref="L11">INDEX(amber!A:A,$K$1+ROW(A11))</f>
        <v>46122</v>
      </c>
      <c r="M11" cm="1">
        <f t="array" ref="M11">INDEX(amber!I:I,$K$1+ROW(I11))</f>
        <v>-16.3</v>
      </c>
      <c r="N11" s="1" cm="1">
        <f t="array" ref="N11">INDEX(topaz!A:A,$K$1+ROW(A11))</f>
        <v>46122</v>
      </c>
      <c r="O11" cm="1">
        <f t="array" ref="O11">INDEX(topaz!I:I,$K$1+ROW(I11))</f>
        <v>-8.9</v>
      </c>
      <c r="P11" s="1" cm="1">
        <f t="array" ref="P11">INDEX(pearl!A:A,$K$1+ROW(A11))</f>
        <v>46122</v>
      </c>
      <c r="Q11" cm="1">
        <f t="array" ref="Q11">INDEX(pearl!I:I,$K$1+ROW(I11))</f>
        <v>47</v>
      </c>
      <c r="S11" s="1" cm="1">
        <f t="array" ref="S11">IF($K$1+ROW()-1&gt;COUNTA($L$2:$L$200),"",INDEX($L$2:$L$200,$K$1+ROW()-1))</f>
        <v>46122</v>
      </c>
      <c r="T11" cm="1">
        <f t="array" ref="T11">IF($K$1+ROW()-1&gt;COUNTA($M$2:$M$200),"",INDEX($M$2:$M$200,$K$1+ROW()-1)-INDEX($M$2:$M$200,$K$1+1))</f>
        <v>-16.3</v>
      </c>
      <c r="U11" s="1" cm="1">
        <f t="array" ref="U11">IF($K$1+ROW()-1&gt;COUNTA($N$2:$N$200),"",INDEX($N$2:$N$200,$K$1+ROW()-1))</f>
        <v>46122</v>
      </c>
      <c r="V11" cm="1">
        <f t="array" ref="V11">IF($K$1+ROW()-1&gt;COUNTA($O$2:$O$200),"",INDEX($O$2:$O$200,$K$1+ROW()-1)-INDEX($O$2:$O$200,$K$1+1))</f>
        <v>-8.9</v>
      </c>
      <c r="W11" s="1" cm="1">
        <f t="array" ref="W11">IF($K$1+ROW()-1&gt;COUNTA($P$2:$P$200),"",INDEX($P$2:$P$200,$K$1+ROW()-1))</f>
        <v>46122</v>
      </c>
      <c r="X11" cm="1">
        <f t="array" ref="X11">IF($K$1+ROW()-1&gt;COUNTA($Q$2:$Q$200),"",INDEX($Q$2:$Q$200,$K$1+ROW()-1)-INDEX($Q$2:$Q$200,$K$1+1))</f>
        <v>47</v>
      </c>
    </row>
    <row r="12" spans="11:24" x14ac:dyDescent="0.35">
      <c r="L12" s="1" cm="1">
        <f t="array" ref="L12">INDEX(amber!A:A,$K$1+ROW(A12))</f>
        <v>46123</v>
      </c>
      <c r="M12" cm="1">
        <f t="array" ref="M12">INDEX(amber!I:I,$K$1+ROW(I12))</f>
        <v>-15.8</v>
      </c>
      <c r="N12" s="1" cm="1">
        <f t="array" ref="N12">INDEX(topaz!A:A,$K$1+ROW(A12))</f>
        <v>46123</v>
      </c>
      <c r="O12" cm="1">
        <f t="array" ref="O12">INDEX(topaz!I:I,$K$1+ROW(I12))</f>
        <v>-10.1</v>
      </c>
      <c r="P12" s="1" cm="1">
        <f t="array" ref="P12">INDEX(pearl!A:A,$K$1+ROW(A12))</f>
        <v>46123</v>
      </c>
      <c r="Q12" cm="1">
        <f t="array" ref="Q12">INDEX(pearl!I:I,$K$1+ROW(I12))</f>
        <v>47.3</v>
      </c>
      <c r="S12" s="1" cm="1">
        <f t="array" ref="S12">IF($K$1+ROW()-1&gt;COUNTA($L$2:$L$200),"",INDEX($L$2:$L$200,$K$1+ROW()-1))</f>
        <v>46123</v>
      </c>
      <c r="T12" cm="1">
        <f t="array" ref="T12">IF($K$1+ROW()-1&gt;COUNTA($M$2:$M$200),"",INDEX($M$2:$M$200,$K$1+ROW()-1)-INDEX($M$2:$M$200,$K$1+1))</f>
        <v>-15.8</v>
      </c>
      <c r="U12" s="1" cm="1">
        <f t="array" ref="U12">IF($K$1+ROW()-1&gt;COUNTA($N$2:$N$200),"",INDEX($N$2:$N$200,$K$1+ROW()-1))</f>
        <v>46123</v>
      </c>
      <c r="V12" cm="1">
        <f t="array" ref="V12">IF($K$1+ROW()-1&gt;COUNTA($O$2:$O$200),"",INDEX($O$2:$O$200,$K$1+ROW()-1)-INDEX($O$2:$O$200,$K$1+1))</f>
        <v>-10.1</v>
      </c>
      <c r="W12" s="1" cm="1">
        <f t="array" ref="W12">IF($K$1+ROW()-1&gt;COUNTA($P$2:$P$200),"",INDEX($P$2:$P$200,$K$1+ROW()-1))</f>
        <v>46123</v>
      </c>
      <c r="X12" cm="1">
        <f t="array" ref="X12">IF($K$1+ROW()-1&gt;COUNTA($Q$2:$Q$200),"",INDEX($Q$2:$Q$200,$K$1+ROW()-1)-INDEX($Q$2:$Q$200,$K$1+1))</f>
        <v>47.3</v>
      </c>
    </row>
    <row r="13" spans="11:24" x14ac:dyDescent="0.35">
      <c r="L13" s="1" cm="1">
        <f t="array" ref="L13">INDEX(amber!A:A,$K$1+ROW(A13))</f>
        <v>46124</v>
      </c>
      <c r="M13" cm="1">
        <f t="array" ref="M13">INDEX(amber!I:I,$K$1+ROW(I13))</f>
        <v>-16.399999999999999</v>
      </c>
      <c r="N13" s="1" cm="1">
        <f t="array" ref="N13">INDEX(topaz!A:A,$K$1+ROW(A13))</f>
        <v>46124</v>
      </c>
      <c r="O13" cm="1">
        <f t="array" ref="O13">INDEX(topaz!I:I,$K$1+ROW(I13))</f>
        <v>-12.1</v>
      </c>
      <c r="P13" s="1" cm="1">
        <f t="array" ref="P13">INDEX(pearl!A:A,$K$1+ROW(A13))</f>
        <v>46124</v>
      </c>
      <c r="Q13" cm="1">
        <f t="array" ref="Q13">INDEX(pearl!I:I,$K$1+ROW(I13))</f>
        <v>46.1</v>
      </c>
      <c r="S13" s="1" cm="1">
        <f t="array" ref="S13">IF($K$1+ROW()-1&gt;COUNTA($L$2:$L$200),"",INDEX($L$2:$L$200,$K$1+ROW()-1))</f>
        <v>46124</v>
      </c>
      <c r="T13" cm="1">
        <f t="array" ref="T13">IF($K$1+ROW()-1&gt;COUNTA($M$2:$M$200),"",INDEX($M$2:$M$200,$K$1+ROW()-1)-INDEX($M$2:$M$200,$K$1+1))</f>
        <v>-16.399999999999999</v>
      </c>
      <c r="U13" s="1" cm="1">
        <f t="array" ref="U13">IF($K$1+ROW()-1&gt;COUNTA($N$2:$N$200),"",INDEX($N$2:$N$200,$K$1+ROW()-1))</f>
        <v>46124</v>
      </c>
      <c r="V13" cm="1">
        <f t="array" ref="V13">IF($K$1+ROW()-1&gt;COUNTA($O$2:$O$200),"",INDEX($O$2:$O$200,$K$1+ROW()-1)-INDEX($O$2:$O$200,$K$1+1))</f>
        <v>-12.1</v>
      </c>
      <c r="W13" s="1" cm="1">
        <f t="array" ref="W13">IF($K$1+ROW()-1&gt;COUNTA($P$2:$P$200),"",INDEX($P$2:$P$200,$K$1+ROW()-1))</f>
        <v>46124</v>
      </c>
      <c r="X13" cm="1">
        <f t="array" ref="X13">IF($K$1+ROW()-1&gt;COUNTA($Q$2:$Q$200),"",INDEX($Q$2:$Q$200,$K$1+ROW()-1)-INDEX($Q$2:$Q$200,$K$1+1))</f>
        <v>46.1</v>
      </c>
    </row>
    <row r="14" spans="11:24" x14ac:dyDescent="0.35">
      <c r="L14" s="1" cm="1">
        <f t="array" ref="L14">INDEX(amber!A:A,$K$1+ROW(A14))</f>
        <v>46125</v>
      </c>
      <c r="M14" cm="1">
        <f t="array" ref="M14">INDEX(amber!I:I,$K$1+ROW(I14))</f>
        <v>-16</v>
      </c>
      <c r="N14" s="1" cm="1">
        <f t="array" ref="N14">INDEX(topaz!A:A,$K$1+ROW(A14))</f>
        <v>46125</v>
      </c>
      <c r="O14" cm="1">
        <f t="array" ref="O14">INDEX(topaz!I:I,$K$1+ROW(I14))</f>
        <v>-10.6</v>
      </c>
      <c r="P14" s="1" cm="1">
        <f t="array" ref="P14">INDEX(pearl!A:A,$K$1+ROW(A14))</f>
        <v>46125</v>
      </c>
      <c r="Q14" cm="1">
        <f t="array" ref="Q14">INDEX(pearl!I:I,$K$1+ROW(I14))</f>
        <v>47.7</v>
      </c>
      <c r="S14" s="1" cm="1">
        <f t="array" ref="S14">IF($K$1+ROW()-1&gt;COUNTA($L$2:$L$200),"",INDEX($L$2:$L$200,$K$1+ROW()-1))</f>
        <v>46125</v>
      </c>
      <c r="T14" cm="1">
        <f t="array" ref="T14">IF($K$1+ROW()-1&gt;COUNTA($M$2:$M$200),"",INDEX($M$2:$M$200,$K$1+ROW()-1)-INDEX($M$2:$M$200,$K$1+1))</f>
        <v>-16</v>
      </c>
      <c r="U14" s="1" cm="1">
        <f t="array" ref="U14">IF($K$1+ROW()-1&gt;COUNTA($N$2:$N$200),"",INDEX($N$2:$N$200,$K$1+ROW()-1))</f>
        <v>46125</v>
      </c>
      <c r="V14" cm="1">
        <f t="array" ref="V14">IF($K$1+ROW()-1&gt;COUNTA($O$2:$O$200),"",INDEX($O$2:$O$200,$K$1+ROW()-1)-INDEX($O$2:$O$200,$K$1+1))</f>
        <v>-10.6</v>
      </c>
      <c r="W14" s="1" cm="1">
        <f t="array" ref="W14">IF($K$1+ROW()-1&gt;COUNTA($P$2:$P$200),"",INDEX($P$2:$P$200,$K$1+ROW()-1))</f>
        <v>46125</v>
      </c>
      <c r="X14" cm="1">
        <f t="array" ref="X14">IF($K$1+ROW()-1&gt;COUNTA($Q$2:$Q$200),"",INDEX($Q$2:$Q$200,$K$1+ROW()-1)-INDEX($Q$2:$Q$200,$K$1+1))</f>
        <v>47.7</v>
      </c>
    </row>
    <row r="15" spans="11:24" x14ac:dyDescent="0.35">
      <c r="L15" s="1" cm="1">
        <f t="array" ref="L15">INDEX(amber!A:A,$K$1+ROW(A15))</f>
        <v>46126</v>
      </c>
      <c r="M15" cm="1">
        <f t="array" ref="M15">INDEX(amber!I:I,$K$1+ROW(I15))</f>
        <v>-15.3</v>
      </c>
      <c r="N15" s="1" cm="1">
        <f t="array" ref="N15">INDEX(topaz!A:A,$K$1+ROW(A15))</f>
        <v>46126</v>
      </c>
      <c r="O15" cm="1">
        <f t="array" ref="O15">INDEX(topaz!I:I,$K$1+ROW(I15))</f>
        <v>-10.9</v>
      </c>
      <c r="P15" s="1" cm="1">
        <f t="array" ref="P15">INDEX(pearl!A:A,$K$1+ROW(A15))</f>
        <v>46126</v>
      </c>
      <c r="Q15" cm="1">
        <f t="array" ref="Q15">INDEX(pearl!I:I,$K$1+ROW(I15))</f>
        <v>46.4</v>
      </c>
      <c r="S15" s="1" cm="1">
        <f t="array" ref="S15">IF($K$1+ROW()-1&gt;COUNTA($L$2:$L$200),"",INDEX($L$2:$L$200,$K$1+ROW()-1))</f>
        <v>46126</v>
      </c>
      <c r="T15" cm="1">
        <f t="array" ref="T15">IF($K$1+ROW()-1&gt;COUNTA($M$2:$M$200),"",INDEX($M$2:$M$200,$K$1+ROW()-1)-INDEX($M$2:$M$200,$K$1+1))</f>
        <v>-15.3</v>
      </c>
      <c r="U15" s="1" cm="1">
        <f t="array" ref="U15">IF($K$1+ROW()-1&gt;COUNTA($N$2:$N$200),"",INDEX($N$2:$N$200,$K$1+ROW()-1))</f>
        <v>46126</v>
      </c>
      <c r="V15" cm="1">
        <f t="array" ref="V15">IF($K$1+ROW()-1&gt;COUNTA($O$2:$O$200),"",INDEX($O$2:$O$200,$K$1+ROW()-1)-INDEX($O$2:$O$200,$K$1+1))</f>
        <v>-10.9</v>
      </c>
      <c r="W15" s="1" cm="1">
        <f t="array" ref="W15">IF($K$1+ROW()-1&gt;COUNTA($P$2:$P$200),"",INDEX($P$2:$P$200,$K$1+ROW()-1))</f>
        <v>46126</v>
      </c>
      <c r="X15" cm="1">
        <f t="array" ref="X15">IF($K$1+ROW()-1&gt;COUNTA($Q$2:$Q$200),"",INDEX($Q$2:$Q$200,$K$1+ROW()-1)-INDEX($Q$2:$Q$200,$K$1+1))</f>
        <v>46.4</v>
      </c>
    </row>
    <row r="16" spans="11:24" x14ac:dyDescent="0.35">
      <c r="L16" s="1" cm="1">
        <f t="array" ref="L16">INDEX(amber!A:A,$K$1+ROW(A16))</f>
        <v>46127</v>
      </c>
      <c r="M16" cm="1">
        <f t="array" ref="M16">INDEX(amber!I:I,$K$1+ROW(I16))</f>
        <v>-19.3</v>
      </c>
      <c r="N16" s="1" cm="1">
        <f t="array" ref="N16">INDEX(topaz!A:A,$K$1+ROW(A16))</f>
        <v>46127</v>
      </c>
      <c r="O16" cm="1">
        <f t="array" ref="O16">INDEX(topaz!I:I,$K$1+ROW(I16))</f>
        <v>-10.3</v>
      </c>
      <c r="P16" s="1" cm="1">
        <f t="array" ref="P16">INDEX(pearl!A:A,$K$1+ROW(A16))</f>
        <v>46127</v>
      </c>
      <c r="Q16" cm="1">
        <f t="array" ref="Q16">INDEX(pearl!I:I,$K$1+ROW(I16))</f>
        <v>42.2</v>
      </c>
      <c r="S16" s="1" cm="1">
        <f t="array" ref="S16">IF($K$1+ROW()-1&gt;COUNTA($L$2:$L$200),"",INDEX($L$2:$L$200,$K$1+ROW()-1))</f>
        <v>46127</v>
      </c>
      <c r="T16" cm="1">
        <f t="array" ref="T16">IF($K$1+ROW()-1&gt;COUNTA($M$2:$M$200),"",INDEX($M$2:$M$200,$K$1+ROW()-1)-INDEX($M$2:$M$200,$K$1+1))</f>
        <v>-19.3</v>
      </c>
      <c r="U16" s="1" cm="1">
        <f t="array" ref="U16">IF($K$1+ROW()-1&gt;COUNTA($N$2:$N$200),"",INDEX($N$2:$N$200,$K$1+ROW()-1))</f>
        <v>46127</v>
      </c>
      <c r="V16" cm="1">
        <f t="array" ref="V16">IF($K$1+ROW()-1&gt;COUNTA($O$2:$O$200),"",INDEX($O$2:$O$200,$K$1+ROW()-1)-INDEX($O$2:$O$200,$K$1+1))</f>
        <v>-10.3</v>
      </c>
      <c r="W16" s="1" cm="1">
        <f t="array" ref="W16">IF($K$1+ROW()-1&gt;COUNTA($P$2:$P$200),"",INDEX($P$2:$P$200,$K$1+ROW()-1))</f>
        <v>46127</v>
      </c>
      <c r="X16" cm="1">
        <f t="array" ref="X16">IF($K$1+ROW()-1&gt;COUNTA($Q$2:$Q$200),"",INDEX($Q$2:$Q$200,$K$1+ROW()-1)-INDEX($Q$2:$Q$200,$K$1+1))</f>
        <v>42.2</v>
      </c>
    </row>
    <row r="17" spans="12:24" x14ac:dyDescent="0.35">
      <c r="L17" s="1" cm="1">
        <f t="array" ref="L17">INDEX(amber!A:A,$K$1+ROW(A17))</f>
        <v>46128</v>
      </c>
      <c r="M17" cm="1">
        <f t="array" ref="M17">INDEX(amber!I:I,$K$1+ROW(I17))</f>
        <v>-17.7</v>
      </c>
      <c r="N17" s="1" cm="1">
        <f t="array" ref="N17">INDEX(topaz!A:A,$K$1+ROW(A17))</f>
        <v>46128</v>
      </c>
      <c r="O17" cm="1">
        <f t="array" ref="O17">INDEX(topaz!I:I,$K$1+ROW(I17))</f>
        <v>-12.3</v>
      </c>
      <c r="P17" s="1" cm="1">
        <f t="array" ref="P17">INDEX(pearl!A:A,$K$1+ROW(A17))</f>
        <v>46128</v>
      </c>
      <c r="Q17" cm="1">
        <f t="array" ref="Q17">INDEX(pearl!I:I,$K$1+ROW(I17))</f>
        <v>42.6</v>
      </c>
      <c r="S17" s="1" cm="1">
        <f t="array" ref="S17">IF($K$1+ROW()-1&gt;COUNTA($L$2:$L$200),"",INDEX($L$2:$L$200,$K$1+ROW()-1))</f>
        <v>46128</v>
      </c>
      <c r="T17" cm="1">
        <f t="array" ref="T17">IF($K$1+ROW()-1&gt;COUNTA($M$2:$M$200),"",INDEX($M$2:$M$200,$K$1+ROW()-1)-INDEX($M$2:$M$200,$K$1+1))</f>
        <v>-17.7</v>
      </c>
      <c r="U17" s="1" cm="1">
        <f t="array" ref="U17">IF($K$1+ROW()-1&gt;COUNTA($N$2:$N$200),"",INDEX($N$2:$N$200,$K$1+ROW()-1))</f>
        <v>46128</v>
      </c>
      <c r="V17" cm="1">
        <f t="array" ref="V17">IF($K$1+ROW()-1&gt;COUNTA($O$2:$O$200),"",INDEX($O$2:$O$200,$K$1+ROW()-1)-INDEX($O$2:$O$200,$K$1+1))</f>
        <v>-12.3</v>
      </c>
      <c r="W17" s="1" cm="1">
        <f t="array" ref="W17">IF($K$1+ROW()-1&gt;COUNTA($P$2:$P$200),"",INDEX($P$2:$P$200,$K$1+ROW()-1))</f>
        <v>46128</v>
      </c>
      <c r="X17" cm="1">
        <f t="array" ref="X17">IF($K$1+ROW()-1&gt;COUNTA($Q$2:$Q$200),"",INDEX($Q$2:$Q$200,$K$1+ROW()-1)-INDEX($Q$2:$Q$200,$K$1+1))</f>
        <v>42.6</v>
      </c>
    </row>
    <row r="18" spans="12:24" x14ac:dyDescent="0.35">
      <c r="L18" s="1" cm="1">
        <f t="array" ref="L18">INDEX(amber!A:A,$K$1+ROW(A18))</f>
        <v>46129</v>
      </c>
      <c r="M18" cm="1">
        <f t="array" ref="M18">INDEX(amber!I:I,$K$1+ROW(I18))</f>
        <v>-20.9</v>
      </c>
      <c r="N18" s="1" cm="1">
        <f t="array" ref="N18">INDEX(topaz!A:A,$K$1+ROW(A18))</f>
        <v>46129</v>
      </c>
      <c r="O18" cm="1">
        <f t="array" ref="O18">INDEX(topaz!I:I,$K$1+ROW(I18))</f>
        <v>-12</v>
      </c>
      <c r="P18" s="1" cm="1">
        <f t="array" ref="P18">INDEX(pearl!A:A,$K$1+ROW(A18))</f>
        <v>46129</v>
      </c>
      <c r="Q18" cm="1">
        <f t="array" ref="Q18">INDEX(pearl!I:I,$K$1+ROW(I18))</f>
        <v>40.9</v>
      </c>
      <c r="S18" s="1" cm="1">
        <f t="array" ref="S18">IF($K$1+ROW()-1&gt;COUNTA($L$2:$L$200),"",INDEX($L$2:$L$200,$K$1+ROW()-1))</f>
        <v>46129</v>
      </c>
      <c r="T18" cm="1">
        <f t="array" ref="T18">IF($K$1+ROW()-1&gt;COUNTA($M$2:$M$200),"",INDEX($M$2:$M$200,$K$1+ROW()-1)-INDEX($M$2:$M$200,$K$1+1))</f>
        <v>-20.9</v>
      </c>
      <c r="U18" s="1" cm="1">
        <f t="array" ref="U18">IF($K$1+ROW()-1&gt;COUNTA($N$2:$N$200),"",INDEX($N$2:$N$200,$K$1+ROW()-1))</f>
        <v>46129</v>
      </c>
      <c r="V18" cm="1">
        <f t="array" ref="V18">IF($K$1+ROW()-1&gt;COUNTA($O$2:$O$200),"",INDEX($O$2:$O$200,$K$1+ROW()-1)-INDEX($O$2:$O$200,$K$1+1))</f>
        <v>-12</v>
      </c>
      <c r="W18" s="1" cm="1">
        <f t="array" ref="W18">IF($K$1+ROW()-1&gt;COUNTA($P$2:$P$200),"",INDEX($P$2:$P$200,$K$1+ROW()-1))</f>
        <v>46129</v>
      </c>
      <c r="X18" cm="1">
        <f t="array" ref="X18">IF($K$1+ROW()-1&gt;COUNTA($Q$2:$Q$200),"",INDEX($Q$2:$Q$200,$K$1+ROW()-1)-INDEX($Q$2:$Q$200,$K$1+1))</f>
        <v>40.9</v>
      </c>
    </row>
    <row r="19" spans="12:24" x14ac:dyDescent="0.35">
      <c r="L19" s="1" cm="1">
        <f t="array" ref="L19">INDEX(amber!A:A,$K$1+ROW(A19))</f>
        <v>46130</v>
      </c>
      <c r="M19" cm="1">
        <f t="array" ref="M19">INDEX(amber!I:I,$K$1+ROW(I19))</f>
        <v>-22.8</v>
      </c>
      <c r="N19" s="1" cm="1">
        <f t="array" ref="N19">INDEX(topaz!A:A,$K$1+ROW(A19))</f>
        <v>46130</v>
      </c>
      <c r="O19" cm="1">
        <f t="array" ref="O19">INDEX(topaz!I:I,$K$1+ROW(I19))</f>
        <v>-11.4</v>
      </c>
      <c r="P19" s="1" cm="1">
        <f t="array" ref="P19">INDEX(pearl!A:A,$K$1+ROW(A19))</f>
        <v>46130</v>
      </c>
      <c r="Q19" cm="1">
        <f t="array" ref="Q19">INDEX(pearl!I:I,$K$1+ROW(I19))</f>
        <v>40.4</v>
      </c>
      <c r="S19" s="1" cm="1">
        <f t="array" ref="S19">IF($K$1+ROW()-1&gt;COUNTA($L$2:$L$200),"",INDEX($L$2:$L$200,$K$1+ROW()-1))</f>
        <v>46130</v>
      </c>
      <c r="T19" cm="1">
        <f t="array" ref="T19">IF($K$1+ROW()-1&gt;COUNTA($M$2:$M$200),"",INDEX($M$2:$M$200,$K$1+ROW()-1)-INDEX($M$2:$M$200,$K$1+1))</f>
        <v>-22.8</v>
      </c>
      <c r="U19" s="1" cm="1">
        <f t="array" ref="U19">IF($K$1+ROW()-1&gt;COUNTA($N$2:$N$200),"",INDEX($N$2:$N$200,$K$1+ROW()-1))</f>
        <v>46130</v>
      </c>
      <c r="V19" cm="1">
        <f t="array" ref="V19">IF($K$1+ROW()-1&gt;COUNTA($O$2:$O$200),"",INDEX($O$2:$O$200,$K$1+ROW()-1)-INDEX($O$2:$O$200,$K$1+1))</f>
        <v>-11.4</v>
      </c>
      <c r="W19" s="1" cm="1">
        <f t="array" ref="W19">IF($K$1+ROW()-1&gt;COUNTA($P$2:$P$200),"",INDEX($P$2:$P$200,$K$1+ROW()-1))</f>
        <v>46130</v>
      </c>
      <c r="X19" cm="1">
        <f t="array" ref="X19">IF($K$1+ROW()-1&gt;COUNTA($Q$2:$Q$200),"",INDEX($Q$2:$Q$200,$K$1+ROW()-1)-INDEX($Q$2:$Q$200,$K$1+1))</f>
        <v>40.4</v>
      </c>
    </row>
    <row r="20" spans="12:24" x14ac:dyDescent="0.35">
      <c r="L20" s="1" cm="1">
        <f t="array" ref="L20">INDEX(amber!A:A,$K$1+ROW(A20))</f>
        <v>46131</v>
      </c>
      <c r="M20" cm="1">
        <f t="array" ref="M20">INDEX(amber!I:I,$K$1+ROW(I20))</f>
        <v>-18.5</v>
      </c>
      <c r="N20" s="1" cm="1">
        <f t="array" ref="N20">INDEX(topaz!A:A,$K$1+ROW(A20))</f>
        <v>46131</v>
      </c>
      <c r="O20" cm="1">
        <f t="array" ref="O20">INDEX(topaz!I:I,$K$1+ROW(I20))</f>
        <v>-13.6</v>
      </c>
      <c r="P20" s="1" cm="1">
        <f t="array" ref="P20">INDEX(pearl!A:A,$K$1+ROW(A20))</f>
        <v>46131</v>
      </c>
      <c r="Q20" cm="1">
        <f t="array" ref="Q20">INDEX(pearl!I:I,$K$1+ROW(I20))</f>
        <v>38.299999999999997</v>
      </c>
      <c r="S20" s="1" cm="1">
        <f t="array" ref="S20">IF($K$1+ROW()-1&gt;COUNTA($L$2:$L$200),"",INDEX($L$2:$L$200,$K$1+ROW()-1))</f>
        <v>46131</v>
      </c>
      <c r="T20" cm="1">
        <f t="array" ref="T20">IF($K$1+ROW()-1&gt;COUNTA($M$2:$M$200),"",INDEX($M$2:$M$200,$K$1+ROW()-1)-INDEX($M$2:$M$200,$K$1+1))</f>
        <v>-18.5</v>
      </c>
      <c r="U20" s="1" cm="1">
        <f t="array" ref="U20">IF($K$1+ROW()-1&gt;COUNTA($N$2:$N$200),"",INDEX($N$2:$N$200,$K$1+ROW()-1))</f>
        <v>46131</v>
      </c>
      <c r="V20" cm="1">
        <f t="array" ref="V20">IF($K$1+ROW()-1&gt;COUNTA($O$2:$O$200),"",INDEX($O$2:$O$200,$K$1+ROW()-1)-INDEX($O$2:$O$200,$K$1+1))</f>
        <v>-13.6</v>
      </c>
      <c r="W20" s="1" cm="1">
        <f t="array" ref="W20">IF($K$1+ROW()-1&gt;COUNTA($P$2:$P$200),"",INDEX($P$2:$P$200,$K$1+ROW()-1))</f>
        <v>46131</v>
      </c>
      <c r="X20" cm="1">
        <f t="array" ref="X20">IF($K$1+ROW()-1&gt;COUNTA($Q$2:$Q$200),"",INDEX($Q$2:$Q$200,$K$1+ROW()-1)-INDEX($Q$2:$Q$200,$K$1+1))</f>
        <v>38.299999999999997</v>
      </c>
    </row>
    <row r="21" spans="12:24" x14ac:dyDescent="0.35">
      <c r="L21" s="1" cm="1">
        <f t="array" ref="L21">INDEX(amber!A:A,$K$1+ROW(A21))</f>
        <v>46132</v>
      </c>
      <c r="M21" cm="1">
        <f t="array" ref="M21">INDEX(amber!I:I,$K$1+ROW(I21))</f>
        <v>1.9</v>
      </c>
      <c r="N21" s="1" cm="1">
        <f t="array" ref="N21">INDEX(topaz!A:A,$K$1+ROW(A21))</f>
        <v>46132</v>
      </c>
      <c r="O21" cm="1">
        <f t="array" ref="O21">INDEX(topaz!I:I,$K$1+ROW(I21))</f>
        <v>-14.1</v>
      </c>
      <c r="P21" s="1" cm="1">
        <f t="array" ref="P21">INDEX(pearl!A:A,$K$1+ROW(A21))</f>
        <v>46132</v>
      </c>
      <c r="Q21" cm="1">
        <f t="array" ref="Q21">INDEX(pearl!I:I,$K$1+ROW(I21))</f>
        <v>42.9</v>
      </c>
      <c r="S21" s="1" cm="1">
        <f t="array" ref="S21">IF($K$1+ROW()-1&gt;COUNTA($L$2:$L$200),"",INDEX($L$2:$L$200,$K$1+ROW()-1))</f>
        <v>46132</v>
      </c>
      <c r="T21" cm="1">
        <f t="array" ref="T21">IF($K$1+ROW()-1&gt;COUNTA($M$2:$M$200),"",INDEX($M$2:$M$200,$K$1+ROW()-1)-INDEX($M$2:$M$200,$K$1+1))</f>
        <v>1.9</v>
      </c>
      <c r="U21" s="1" cm="1">
        <f t="array" ref="U21">IF($K$1+ROW()-1&gt;COUNTA($N$2:$N$200),"",INDEX($N$2:$N$200,$K$1+ROW()-1))</f>
        <v>46132</v>
      </c>
      <c r="V21" cm="1">
        <f t="array" ref="V21">IF($K$1+ROW()-1&gt;COUNTA($O$2:$O$200),"",INDEX($O$2:$O$200,$K$1+ROW()-1)-INDEX($O$2:$O$200,$K$1+1))</f>
        <v>-14.1</v>
      </c>
      <c r="W21" s="1" cm="1">
        <f t="array" ref="W21">IF($K$1+ROW()-1&gt;COUNTA($P$2:$P$200),"",INDEX($P$2:$P$200,$K$1+ROW()-1))</f>
        <v>46132</v>
      </c>
      <c r="X21" cm="1">
        <f t="array" ref="X21">IF($K$1+ROW()-1&gt;COUNTA($Q$2:$Q$200),"",INDEX($Q$2:$Q$200,$K$1+ROW()-1)-INDEX($Q$2:$Q$200,$K$1+1))</f>
        <v>42.9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Scroll Bar 1">
              <controlPr defaultSize="0" autoPict="0">
                <anchor moveWithCells="1">
                  <from>
                    <xdr:col>17</xdr:col>
                    <xdr:colOff>590550</xdr:colOff>
                    <xdr:row>22</xdr:row>
                    <xdr:rowOff>25400</xdr:rowOff>
                  </from>
                  <to>
                    <xdr:col>26</xdr:col>
                    <xdr:colOff>412750</xdr:colOff>
                    <xdr:row>24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amber</vt:lpstr>
      <vt:lpstr>amber_an</vt:lpstr>
      <vt:lpstr>topaz</vt:lpstr>
      <vt:lpstr>topaz_an</vt:lpstr>
      <vt:lpstr>pearl</vt:lpstr>
      <vt:lpstr>pearl_an</vt:lpstr>
      <vt:lpstr>normalise</vt:lpstr>
      <vt:lpstr>form norm refined</vt:lpstr>
      <vt:lpstr>normalise refined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2026-06-11T13:58:05Z</dcterms:modified>
</cp:coreProperties>
</file>