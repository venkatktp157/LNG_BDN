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ENKAT KRISHNA\Downloads\"/>
    </mc:Choice>
  </mc:AlternateContent>
  <xr:revisionPtr revIDLastSave="0" documentId="13_ncr:1_{9816AA53-5CCA-4AE0-A220-1910515BA0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rge BDN calcul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2" i="1"/>
  <c r="D13" i="1"/>
  <c r="D11" i="1"/>
  <c r="C11" i="1"/>
  <c r="B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tc={5C4073A9-40CB-4268-925A-909A3CCB39C4}</author>
  </authors>
  <commentList>
    <comment ref="D11" authorId="0" shapeId="0" xr:uid="{5C4073A9-40CB-4268-925A-909A3CCB39C4}">
      <text>
        <t>[Threaded comment]
Your version of Excel allows you to read this threaded comment; however, any edits to it will get removed if the file is opened in a newer version of Excel. Learn more: https://go.microsoft.com/fwlink/?linkid=870924
Comment:
    Final sum of constituents adjust to 100% before using it in calculations</t>
      </text>
    </comment>
  </commentList>
</comments>
</file>

<file path=xl/sharedStrings.xml><?xml version="1.0" encoding="utf-8"?>
<sst xmlns="http://schemas.openxmlformats.org/spreadsheetml/2006/main" count="15" uniqueCount="15">
  <si>
    <t>Constituent</t>
  </si>
  <si>
    <t>Grey LNG % (PA​)</t>
  </si>
  <si>
    <t>Bio-LNG % (PB​)</t>
  </si>
  <si>
    <t>Blending Calculation</t>
  </si>
  <si>
    <t>Methane (CH4​)</t>
  </si>
  <si>
    <t>Ethane (C2​H6​)</t>
  </si>
  <si>
    <t>Propane (C3​H8​)</t>
  </si>
  <si>
    <t>Nitrogen (N2​)</t>
  </si>
  <si>
    <t>Total</t>
  </si>
  <si>
    <t>iso-Butane (C4​H10​)</t>
  </si>
  <si>
    <t>n-Butane (C4H10)</t>
  </si>
  <si>
    <t>iso-Pentane (i-C5H12)</t>
  </si>
  <si>
    <t>n-Pentane (n-C5H12)</t>
  </si>
  <si>
    <t>n-Hexane (n-C6H14)</t>
  </si>
  <si>
    <t>BDN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</si>
</sst>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%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0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9" fontId="1" fillId="4" borderId="1" xfId="0" applyNumberFormat="1" applyFont="1" applyFill="1" applyBorder="1" applyAlignment="1">
      <alignment horizontal="center"/>
    </xf>
    <xf numFmtId="169" fontId="1" fillId="5" borderId="1" xfId="0" applyNumberFormat="1" applyFont="1" applyFill="1" applyBorder="1" applyAlignment="1">
      <alignment horizontal="center"/>
    </xf>
    <xf numFmtId="169" fontId="1" fillId="6" borderId="1" xfId="0" applyNumberFormat="1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169" fontId="1" fillId="7" borderId="1" xfId="0" applyNumberFormat="1" applyFont="1" applyFill="1" applyBorder="1" applyAlignment="1">
      <alignment horizontal="center"/>
    </xf>
    <xf numFmtId="169" fontId="1" fillId="10" borderId="1" xfId="0" applyNumberFormat="1" applyFont="1" applyFill="1" applyBorder="1" applyAlignment="1">
      <alignment horizontal="center"/>
    </xf>
    <xf numFmtId="169" fontId="1" fillId="8" borderId="1" xfId="0" applyNumberFormat="1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311150</xdr:colOff>
      <xdr:row>0</xdr:row>
      <xdr:rowOff>0</xdr:rowOff>
    </xdr:from>
    <xdr:to>
      <xdr:col>10</xdr:col>
      <xdr:colOff>44726</xdr:colOff>
      <xdr:row>14</xdr:row>
      <xdr:rowOff>63645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57B3B4-0DB2-47CF-8A66-22BFF93F6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83300" y="0"/>
          <a:ext cx="5378726" cy="2819545"/>
        </a:xfrm>
        <a:prstGeom prst="rect">
          <a:avLst/>
        </a:prstGeom>
      </xdr:spPr>
    </xdr:pic>
    <xdr:clientData/>
  </xdr:twoCellAnchor>
  <xdr:twoCellAnchor editAs="oneCell">
    <xdr:from>
      <xdr:col>4</xdr:col>
      <xdr:colOff>323850</xdr:colOff>
      <xdr:row>14</xdr:row>
      <xdr:rowOff>76200</xdr:rowOff>
    </xdr:from>
    <xdr:to>
      <xdr:col>11</xdr:col>
      <xdr:colOff>70172</xdr:colOff>
      <xdr:row>22</xdr:row>
      <xdr:rowOff>88982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8D7113-C6D9-467D-AD82-5E0954082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0" y="2832100"/>
          <a:ext cx="6274122" cy="1587582"/>
        </a:xfrm>
        <a:prstGeom prst="rect">
          <a:avLst/>
        </a:prstGeom>
      </xdr:spPr>
    </xdr:pic>
    <xdr:clientData/>
  </xdr:twoCellAnchor>
  <xdr:twoCellAnchor>
    <xdr:from>
      <xdr:col>4</xdr:col>
      <xdr:colOff>323850</xdr:colOff>
      <xdr:row>22</xdr:row>
      <xdr:rowOff>101600</xdr:rowOff>
    </xdr:from>
    <xdr:to>
      <xdr:col>11</xdr:col>
      <xdr:colOff>247650</xdr:colOff>
      <xdr:row>38</xdr:row>
      <xdr:rowOff>187577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66797F6-C850-4995-8503-210A6A73C0C5}"/>
            </a:ext>
          </a:extLst>
        </xdr:cNvPr>
        <xdr:cNvGrpSpPr/>
      </xdr:nvGrpSpPr>
      <xdr:grpSpPr>
        <a:xfrm>
          <a:off x="6096000" y="4432300"/>
          <a:ext cx="6451600" cy="3235577"/>
          <a:chOff x="609600" y="4902200"/>
          <a:chExt cx="6451600" cy="3235577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BF2BD333-5A5D-F970-7328-38BB316CC6D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609600" y="4902200"/>
            <a:ext cx="3848298" cy="3225966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C7722999-E46E-AC89-CD18-7506BA278F6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l="3024"/>
          <a:stretch>
            <a:fillRect/>
          </a:stretch>
        </xdr:blipFill>
        <xdr:spPr>
          <a:xfrm>
            <a:off x="4470400" y="4908550"/>
            <a:ext cx="2590800" cy="3229227"/>
          </a:xfrm>
          <a:prstGeom prst="rect">
            <a:avLst/>
          </a:prstGeom>
        </xdr:spPr>
      </xdr:pic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ENKAT KRISHNA" id="{A660B5B7-189A-4729-A8C9-0C66E056E708}" userId="a6bea111306049b2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1" dT="2026-06-10T12:19:12.59" personId="{A660B5B7-189A-4729-A8C9-0C66E056E708}" id="{5C4073A9-40CB-4268-925A-909A3CCB39C4}">
    <text>Final sum of constituents adjust to 100% before using it in calculations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3"/>
  <sheetViews>
    <sheetView tabSelected="1" workbookViewId="0">
      <selection activeCell="D2" sqref="D2"/>
    </sheetView>
  </sheetViews>
  <sheetFormatPr defaultColWidth="12.6328125" defaultRowHeight="15.75" customHeight="1" x14ac:dyDescent="0.25"/>
  <cols>
    <col min="1" max="1" width="19.36328125" style="2" customWidth="1"/>
    <col min="2" max="2" width="19.1796875" style="2" customWidth="1"/>
    <col min="3" max="3" width="16.90625" style="2" customWidth="1"/>
    <col min="4" max="4" width="27.1796875" style="2" customWidth="1"/>
    <col min="5" max="5" width="17.6328125" style="2" customWidth="1"/>
    <col min="6" max="16384" width="12.6328125" style="2"/>
  </cols>
  <sheetData>
    <row r="1" spans="1:5" ht="15.75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1"/>
    </row>
    <row r="2" spans="1:5" ht="15.75" customHeight="1" x14ac:dyDescent="0.25">
      <c r="A2" s="6" t="s">
        <v>4</v>
      </c>
      <c r="B2" s="7">
        <v>0.94693799999999995</v>
      </c>
      <c r="C2" s="8">
        <v>0.88060000000000005</v>
      </c>
      <c r="D2" s="9">
        <f>(B2*$B$13+C2*$C$13)/($D$13)</f>
        <v>0.92118598778907024</v>
      </c>
      <c r="E2" s="3"/>
    </row>
    <row r="3" spans="1:5" ht="15.75" customHeight="1" x14ac:dyDescent="0.25">
      <c r="A3" s="6" t="s">
        <v>5</v>
      </c>
      <c r="B3" s="7">
        <v>3.8850000000000003E-2</v>
      </c>
      <c r="C3" s="8">
        <v>9.1700000000000004E-2</v>
      </c>
      <c r="D3" s="9">
        <f t="shared" ref="D3:D10" si="0">(B3*$B$13+C3*$C$13)/($D$13)</f>
        <v>5.9366051815665892E-2</v>
      </c>
      <c r="E3" s="3"/>
    </row>
    <row r="4" spans="1:5" ht="15.75" customHeight="1" x14ac:dyDescent="0.25">
      <c r="A4" s="6" t="s">
        <v>6</v>
      </c>
      <c r="B4" s="7">
        <v>1.0555E-2</v>
      </c>
      <c r="C4" s="8">
        <v>1.9400000000000001E-2</v>
      </c>
      <c r="D4" s="9">
        <f t="shared" si="0"/>
        <v>1.3988575748525352E-2</v>
      </c>
      <c r="E4" s="3"/>
    </row>
    <row r="5" spans="1:5" ht="15.75" customHeight="1" x14ac:dyDescent="0.25">
      <c r="A5" s="6" t="s">
        <v>9</v>
      </c>
      <c r="B5" s="7">
        <v>1.7880000000000001E-3</v>
      </c>
      <c r="C5" s="8">
        <v>1.8E-3</v>
      </c>
      <c r="D5" s="9">
        <f t="shared" si="0"/>
        <v>1.7926583277537936E-3</v>
      </c>
      <c r="E5" s="3"/>
    </row>
    <row r="6" spans="1:5" ht="15.75" customHeight="1" x14ac:dyDescent="0.25">
      <c r="A6" s="6" t="s">
        <v>10</v>
      </c>
      <c r="B6" s="7">
        <v>1.6019999999999999E-3</v>
      </c>
      <c r="C6" s="8">
        <v>2.7000000000000001E-3</v>
      </c>
      <c r="D6" s="9">
        <f t="shared" si="0"/>
        <v>2.0282369894721124E-3</v>
      </c>
      <c r="E6" s="3"/>
    </row>
    <row r="7" spans="1:5" ht="15.75" customHeight="1" x14ac:dyDescent="0.25">
      <c r="A7" s="6" t="s">
        <v>11</v>
      </c>
      <c r="B7" s="7">
        <v>3.6999999999999998E-5</v>
      </c>
      <c r="C7" s="8">
        <v>4.0000000000000002E-4</v>
      </c>
      <c r="D7" s="9">
        <f t="shared" si="0"/>
        <v>1.7791441455225574E-4</v>
      </c>
      <c r="E7" s="3"/>
    </row>
    <row r="8" spans="1:5" ht="15.75" customHeight="1" x14ac:dyDescent="0.25">
      <c r="A8" s="6" t="s">
        <v>12</v>
      </c>
      <c r="B8" s="7">
        <v>1.0000000000000001E-5</v>
      </c>
      <c r="C8" s="8">
        <v>2.9999999999999997E-4</v>
      </c>
      <c r="D8" s="9">
        <f t="shared" si="0"/>
        <v>1.2257625405001144E-4</v>
      </c>
      <c r="E8" s="3"/>
    </row>
    <row r="9" spans="1:5" ht="15.75" customHeight="1" x14ac:dyDescent="0.25">
      <c r="A9" s="6" t="s">
        <v>13</v>
      </c>
      <c r="B9" s="7">
        <v>0</v>
      </c>
      <c r="C9" s="8">
        <v>5.9999999999999995E-4</v>
      </c>
      <c r="D9" s="9">
        <f t="shared" si="0"/>
        <v>2.3291638768967887E-4</v>
      </c>
      <c r="E9" s="3"/>
    </row>
    <row r="10" spans="1:5" ht="15.75" customHeight="1" x14ac:dyDescent="0.25">
      <c r="A10" s="6" t="s">
        <v>7</v>
      </c>
      <c r="B10" s="7">
        <v>2.2100000000000001E-4</v>
      </c>
      <c r="C10" s="8">
        <v>2.5000000000000001E-3</v>
      </c>
      <c r="D10" s="9">
        <f t="shared" si="0"/>
        <v>1.1056940792412968E-3</v>
      </c>
      <c r="E10" s="3"/>
    </row>
    <row r="11" spans="1:5" ht="15.75" customHeight="1" x14ac:dyDescent="0.25">
      <c r="A11" s="10" t="s">
        <v>8</v>
      </c>
      <c r="B11" s="11">
        <f>SUM(B2:B10)</f>
        <v>1.0000009999999999</v>
      </c>
      <c r="C11" s="12">
        <f>SUM(C2:C10)</f>
        <v>1</v>
      </c>
      <c r="D11" s="13">
        <f t="shared" ref="D3:D11" si="1">(B11*$B$13+C11*$C$13)/($B$13+$C$13)</f>
        <v>1.0000006118060205</v>
      </c>
      <c r="E11" s="4"/>
    </row>
    <row r="12" spans="1:5" ht="15.75" customHeight="1" x14ac:dyDescent="0.25">
      <c r="A12" s="14"/>
      <c r="B12" s="14"/>
      <c r="C12" s="14"/>
      <c r="D12" s="14"/>
    </row>
    <row r="13" spans="1:5" ht="15.75" customHeight="1" x14ac:dyDescent="0.25">
      <c r="A13" s="15" t="s">
        <v>14</v>
      </c>
      <c r="B13" s="16">
        <v>1499.4870000000001</v>
      </c>
      <c r="C13" s="17">
        <v>951.43200000000002</v>
      </c>
      <c r="D13" s="18">
        <f>SUM(B13:C13)</f>
        <v>2450.9189999999999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 BDN 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VENKAT KRISHNA</cp:lastModifiedBy>
  <dcterms:modified xsi:type="dcterms:W3CDTF">2026-06-10T12:33:53Z</dcterms:modified>
</cp:coreProperties>
</file>